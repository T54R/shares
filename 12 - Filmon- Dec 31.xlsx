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CCC-Bills\00 - Outside Payment\FILMON - 10+3\Each One\"/>
    </mc:Choice>
  </mc:AlternateContent>
  <xr:revisionPtr revIDLastSave="0" documentId="13_ncr:1_{FEE29CCF-43B0-43B2-938E-71034336FE3B}" xr6:coauthVersionLast="47" xr6:coauthVersionMax="47" xr10:uidLastSave="{00000000-0000-0000-0000-000000000000}"/>
  <bookViews>
    <workbookView xWindow="-120" yWindow="-120" windowWidth="29040" windowHeight="15720" activeTab="2" xr2:uid="{FAD5E6C1-671E-4501-BDDE-DA49C4F89F58}"/>
  </bookViews>
  <sheets>
    <sheet name="Report" sheetId="22" r:id="rId1"/>
    <sheet name="32688" sheetId="19" r:id="rId2"/>
    <sheet name="130874" sheetId="23" r:id="rId3"/>
    <sheet name="289234" sheetId="24" r:id="rId4"/>
  </sheets>
  <definedNames>
    <definedName name="_xlnm._FilterDatabase" localSheetId="2" hidden="1">'130874'!$B$23:$L$24</definedName>
    <definedName name="_xlnm._FilterDatabase" localSheetId="3" hidden="1">'289234'!$B$23:$L$24</definedName>
    <definedName name="_xlnm._FilterDatabase" localSheetId="1" hidden="1">'32688'!$B$23:$L$24</definedName>
    <definedName name="_xlnm._FilterDatabase" localSheetId="0" hidden="1">Report!#REF!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22" l="1"/>
  <c r="L10" i="22"/>
  <c r="F11" i="22"/>
  <c r="E11" i="22"/>
  <c r="F9" i="22"/>
  <c r="F10" i="22"/>
  <c r="E10" i="22"/>
  <c r="E9" i="22"/>
  <c r="E8" i="22"/>
  <c r="J50" i="24"/>
  <c r="K51" i="24" s="1"/>
  <c r="J43" i="24"/>
  <c r="K44" i="24" s="1"/>
  <c r="J15" i="24"/>
  <c r="J14" i="24"/>
  <c r="J36" i="23"/>
  <c r="K37" i="23" s="1"/>
  <c r="J37" i="19"/>
  <c r="J43" i="23"/>
  <c r="I13" i="23" s="1"/>
  <c r="J13" i="23" s="1"/>
  <c r="J15" i="23"/>
  <c r="J14" i="23"/>
  <c r="J44" i="19"/>
  <c r="K45" i="19" s="1"/>
  <c r="K38" i="19"/>
  <c r="I13" i="24" l="1"/>
  <c r="J13" i="24" s="1"/>
  <c r="I12" i="24"/>
  <c r="J12" i="24" s="1"/>
  <c r="I12" i="23"/>
  <c r="J12" i="23" s="1"/>
  <c r="K44" i="23"/>
  <c r="J16" i="23"/>
  <c r="I20" i="23" s="1"/>
  <c r="I13" i="19"/>
  <c r="I12" i="19"/>
  <c r="J16" i="24" l="1"/>
  <c r="I20" i="24" s="1"/>
  <c r="J8" i="22"/>
  <c r="I8" i="22"/>
  <c r="K8" i="22" l="1"/>
  <c r="J11" i="22"/>
  <c r="I11" i="22"/>
  <c r="K11" i="22" l="1"/>
  <c r="F8" i="22" l="1"/>
  <c r="J15" i="19"/>
  <c r="J14" i="19"/>
  <c r="J13" i="19" l="1"/>
  <c r="L8" i="22"/>
  <c r="L11" i="22" s="1"/>
  <c r="J12" i="19"/>
  <c r="J16" i="19" s="1"/>
  <c r="I20" i="19" s="1"/>
  <c r="H11" i="22" l="1"/>
  <c r="G11" i="22"/>
</calcChain>
</file>

<file path=xl/sharedStrings.xml><?xml version="1.0" encoding="utf-8"?>
<sst xmlns="http://schemas.openxmlformats.org/spreadsheetml/2006/main" count="314" uniqueCount="87">
  <si>
    <t>Date</t>
  </si>
  <si>
    <t>MATERIAL</t>
  </si>
  <si>
    <t>JAGATH</t>
  </si>
  <si>
    <t>ASPHALT</t>
  </si>
  <si>
    <t>S.L</t>
  </si>
  <si>
    <t>TICT-TICKET NO</t>
  </si>
  <si>
    <t>CCC-TICKET NO</t>
  </si>
  <si>
    <t>VEHICLE</t>
  </si>
  <si>
    <t>DRIVER
NAME</t>
  </si>
  <si>
    <t>FIRST
WEIGHT</t>
  </si>
  <si>
    <t>SECOND
WEIGHT</t>
  </si>
  <si>
    <t>NET
WEIGHT</t>
  </si>
  <si>
    <t>DATE</t>
  </si>
  <si>
    <t>TIME</t>
  </si>
  <si>
    <t>VEHICLE NO</t>
  </si>
  <si>
    <t>RATE</t>
  </si>
  <si>
    <t>TOTAL</t>
  </si>
  <si>
    <t>FILMON</t>
  </si>
  <si>
    <t>NAME</t>
  </si>
  <si>
    <t>PLATE NO</t>
  </si>
  <si>
    <t>SIGN</t>
  </si>
  <si>
    <t>FROM</t>
  </si>
  <si>
    <t>PAID BY</t>
  </si>
  <si>
    <t>TO</t>
  </si>
  <si>
    <t>AMOUNT</t>
  </si>
  <si>
    <t>REMARKS</t>
  </si>
  <si>
    <t>DESCRIPTION</t>
  </si>
  <si>
    <t>QTY</t>
  </si>
  <si>
    <t>DAILY - DAY</t>
  </si>
  <si>
    <t>DAILY - NIGHT</t>
  </si>
  <si>
    <t>TOTAL AFTER DEDUCTION</t>
  </si>
  <si>
    <t>CALCULATION</t>
  </si>
  <si>
    <t>TON</t>
  </si>
  <si>
    <t>SL NO</t>
  </si>
  <si>
    <t>DAILY</t>
  </si>
  <si>
    <t>DAY</t>
  </si>
  <si>
    <t>NIGHT</t>
  </si>
  <si>
    <t>9516</t>
  </si>
  <si>
    <t>LILA</t>
  </si>
  <si>
    <t>WASTE MILLING</t>
  </si>
  <si>
    <t>CCC-HIAR</t>
  </si>
  <si>
    <t>9519</t>
  </si>
  <si>
    <t>9522</t>
  </si>
  <si>
    <t>9521</t>
  </si>
  <si>
    <t>9525</t>
  </si>
  <si>
    <t>9526</t>
  </si>
  <si>
    <t>9533</t>
  </si>
  <si>
    <t>9534</t>
  </si>
  <si>
    <t>9538</t>
  </si>
  <si>
    <t>9541</t>
  </si>
  <si>
    <t>9545</t>
  </si>
  <si>
    <t>9549</t>
  </si>
  <si>
    <t>9603</t>
  </si>
  <si>
    <t>SOURCE</t>
  </si>
  <si>
    <t>9515</t>
  </si>
  <si>
    <t>M.ISMAIL</t>
  </si>
  <si>
    <t>9523</t>
  </si>
  <si>
    <t>12.36 PM</t>
  </si>
  <si>
    <t>9528</t>
  </si>
  <si>
    <t>9527</t>
  </si>
  <si>
    <t>9530</t>
  </si>
  <si>
    <t>9531</t>
  </si>
  <si>
    <t>9532</t>
  </si>
  <si>
    <t>9539</t>
  </si>
  <si>
    <t>9540</t>
  </si>
  <si>
    <t>9544</t>
  </si>
  <si>
    <t>9548</t>
  </si>
  <si>
    <t>9602</t>
  </si>
  <si>
    <t>9518</t>
  </si>
  <si>
    <t>9517</t>
  </si>
  <si>
    <t>9524</t>
  </si>
  <si>
    <t>9520</t>
  </si>
  <si>
    <t>9479</t>
  </si>
  <si>
    <t>9535</t>
  </si>
  <si>
    <t>9536</t>
  </si>
  <si>
    <t>9537</t>
  </si>
  <si>
    <t>9543</t>
  </si>
  <si>
    <t>9542</t>
  </si>
  <si>
    <t>9547</t>
  </si>
  <si>
    <t>9546</t>
  </si>
  <si>
    <t>9601</t>
  </si>
  <si>
    <t>9550</t>
  </si>
  <si>
    <t>9604</t>
  </si>
  <si>
    <t>9605</t>
  </si>
  <si>
    <t>9606</t>
  </si>
  <si>
    <t>9607</t>
  </si>
  <si>
    <t>DECEMBER 2025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</si>
</sst>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[$-409]d\-mmm\-yy;@"/>
    <numFmt numFmtId="166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4"/>
      <name val="Arial"/>
      <family val="2"/>
    </font>
    <font>
      <b/>
      <sz val="14"/>
      <color theme="0"/>
      <name val="Arial"/>
      <family val="2"/>
    </font>
    <font>
      <b/>
      <sz val="14"/>
      <color theme="4"/>
      <name val="Calibri"/>
      <family val="2"/>
      <scheme val="minor"/>
    </font>
    <font>
      <b/>
      <sz val="14"/>
      <name val="Arial"/>
      <family val="2"/>
    </font>
    <font>
      <b/>
      <sz val="11"/>
      <color theme="1"/>
      <name val="Times New Roman"/>
      <family val="1"/>
    </font>
    <font>
      <sz val="12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5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2" fontId="6" fillId="0" borderId="0" xfId="0" applyNumberFormat="1" applyFont="1"/>
    <xf numFmtId="0" fontId="9" fillId="3" borderId="4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center" vertical="center"/>
    </xf>
    <xf numFmtId="49" fontId="9" fillId="3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2" fontId="7" fillId="3" borderId="8" xfId="1" applyNumberFormat="1" applyFont="1" applyFill="1" applyBorder="1" applyAlignment="1">
      <alignment horizontal="center" vertical="center" wrapText="1"/>
    </xf>
    <xf numFmtId="2" fontId="15" fillId="0" borderId="9" xfId="0" applyNumberFormat="1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center"/>
    </xf>
    <xf numFmtId="14" fontId="17" fillId="7" borderId="5" xfId="0" applyNumberFormat="1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49" fontId="17" fillId="7" borderId="5" xfId="0" applyNumberFormat="1" applyFont="1" applyFill="1" applyBorder="1" applyAlignment="1">
      <alignment horizontal="center" vertical="center" wrapText="1"/>
    </xf>
    <xf numFmtId="2" fontId="17" fillId="7" borderId="5" xfId="1" applyNumberFormat="1" applyFont="1" applyFill="1" applyBorder="1" applyAlignment="1">
      <alignment horizontal="center" vertical="center" wrapText="1"/>
    </xf>
    <xf numFmtId="0" fontId="17" fillId="7" borderId="5" xfId="1" applyNumberFormat="1" applyFont="1" applyFill="1" applyBorder="1" applyAlignment="1">
      <alignment horizontal="center" vertical="center" wrapText="1"/>
    </xf>
    <xf numFmtId="0" fontId="17" fillId="7" borderId="5" xfId="1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165" fontId="8" fillId="7" borderId="5" xfId="0" applyNumberFormat="1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2" fontId="8" fillId="7" borderId="5" xfId="1" applyNumberFormat="1" applyFont="1" applyFill="1" applyBorder="1" applyAlignment="1">
      <alignment horizontal="center" vertical="center" wrapText="1"/>
    </xf>
    <xf numFmtId="0" fontId="8" fillId="7" borderId="5" xfId="1" applyNumberFormat="1" applyFont="1" applyFill="1" applyBorder="1" applyAlignment="1">
      <alignment horizontal="center" vertical="center" wrapText="1"/>
    </xf>
    <xf numFmtId="1" fontId="2" fillId="4" borderId="4" xfId="1" applyNumberFormat="1" applyFont="1" applyFill="1" applyBorder="1" applyAlignment="1">
      <alignment horizontal="center" vertical="center" wrapText="1"/>
    </xf>
    <xf numFmtId="2" fontId="11" fillId="4" borderId="4" xfId="1" applyNumberFormat="1" applyFont="1" applyFill="1" applyBorder="1" applyAlignment="1">
      <alignment horizontal="center" vertical="center" wrapText="1"/>
    </xf>
    <xf numFmtId="1" fontId="11" fillId="4" borderId="4" xfId="1" applyNumberFormat="1" applyFont="1" applyFill="1" applyBorder="1" applyAlignment="1">
      <alignment horizontal="center" vertical="center" wrapText="1"/>
    </xf>
    <xf numFmtId="0" fontId="2" fillId="0" borderId="0" xfId="0" applyFont="1"/>
    <xf numFmtId="166" fontId="9" fillId="3" borderId="4" xfId="0" applyNumberFormat="1" applyFont="1" applyFill="1" applyBorder="1" applyAlignment="1">
      <alignment horizontal="center" vertical="center"/>
    </xf>
    <xf numFmtId="2" fontId="10" fillId="3" borderId="4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1" fontId="12" fillId="8" borderId="4" xfId="0" applyNumberFormat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 wrapText="1"/>
    </xf>
    <xf numFmtId="0" fontId="8" fillId="4" borderId="12" xfId="1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2" fontId="8" fillId="4" borderId="4" xfId="1" applyNumberFormat="1" applyFont="1" applyFill="1" applyBorder="1" applyAlignment="1">
      <alignment horizontal="center" vertical="center" wrapText="1"/>
    </xf>
    <xf numFmtId="2" fontId="14" fillId="8" borderId="4" xfId="0" applyNumberFormat="1" applyFont="1" applyFill="1" applyBorder="1" applyAlignment="1">
      <alignment horizontal="center" vertical="center"/>
    </xf>
    <xf numFmtId="2" fontId="19" fillId="8" borderId="4" xfId="0" applyNumberFormat="1" applyFont="1" applyFill="1" applyBorder="1" applyAlignment="1">
      <alignment horizontal="center" vertical="center"/>
    </xf>
    <xf numFmtId="0" fontId="8" fillId="3" borderId="1" xfId="1" applyNumberFormat="1" applyFont="1" applyFill="1" applyBorder="1" applyAlignment="1">
      <alignment horizontal="center" vertical="center" wrapText="1"/>
    </xf>
    <xf numFmtId="2" fontId="2" fillId="3" borderId="4" xfId="1" applyNumberFormat="1" applyFont="1" applyFill="1" applyBorder="1" applyAlignment="1">
      <alignment horizontal="center" vertical="center" wrapText="1"/>
    </xf>
    <xf numFmtId="2" fontId="18" fillId="3" borderId="4" xfId="1" applyNumberFormat="1" applyFont="1" applyFill="1" applyBorder="1" applyAlignment="1">
      <alignment horizontal="center" vertical="center" wrapText="1"/>
    </xf>
    <xf numFmtId="2" fontId="12" fillId="8" borderId="4" xfId="0" applyNumberFormat="1" applyFont="1" applyFill="1" applyBorder="1" applyAlignment="1">
      <alignment horizontal="center" vertical="center"/>
    </xf>
    <xf numFmtId="2" fontId="13" fillId="3" borderId="4" xfId="1" applyNumberFormat="1" applyFont="1" applyFill="1" applyBorder="1" applyAlignment="1">
      <alignment horizontal="center" vertical="center" wrapText="1"/>
    </xf>
    <xf numFmtId="1" fontId="12" fillId="8" borderId="4" xfId="0" applyNumberFormat="1" applyFont="1" applyFill="1" applyBorder="1" applyAlignment="1">
      <alignment horizontal="center" vertical="center"/>
    </xf>
    <xf numFmtId="1" fontId="18" fillId="3" borderId="4" xfId="1" applyNumberFormat="1" applyFont="1" applyFill="1" applyBorder="1" applyAlignment="1">
      <alignment horizontal="center" vertical="center" wrapText="1"/>
    </xf>
    <xf numFmtId="1" fontId="19" fillId="8" borderId="4" xfId="0" applyNumberFormat="1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/>
    </xf>
    <xf numFmtId="1" fontId="12" fillId="8" borderId="4" xfId="0" applyNumberFormat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 wrapText="1"/>
    </xf>
    <xf numFmtId="2" fontId="13" fillId="3" borderId="4" xfId="1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8" fillId="4" borderId="12" xfId="1" applyNumberFormat="1" applyFont="1" applyFill="1" applyBorder="1" applyAlignment="1">
      <alignment horizontal="center" vertical="center" wrapText="1"/>
    </xf>
    <xf numFmtId="2" fontId="12" fillId="8" borderId="4" xfId="0" applyNumberFormat="1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12" fillId="8" borderId="3" xfId="0" applyNumberFormat="1" applyFont="1" applyFill="1" applyBorder="1" applyAlignment="1">
      <alignment horizontal="center" vertical="center"/>
    </xf>
    <xf numFmtId="1" fontId="12" fillId="8" borderId="18" xfId="0" applyNumberFormat="1" applyFont="1" applyFill="1" applyBorder="1" applyAlignment="1">
      <alignment horizontal="center" vertical="center"/>
    </xf>
    <xf numFmtId="1" fontId="12" fillId="8" borderId="8" xfId="0" applyNumberFormat="1" applyFont="1" applyFill="1" applyBorder="1" applyAlignment="1">
      <alignment horizontal="center" vertical="center"/>
    </xf>
    <xf numFmtId="1" fontId="12" fillId="8" borderId="4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0" fontId="8" fillId="4" borderId="11" xfId="1" applyNumberFormat="1" applyFont="1" applyFill="1" applyBorder="1" applyAlignment="1">
      <alignment horizontal="center" vertical="center" wrapText="1"/>
    </xf>
    <xf numFmtId="0" fontId="8" fillId="4" borderId="7" xfId="1" applyNumberFormat="1" applyFont="1" applyFill="1" applyBorder="1" applyAlignment="1">
      <alignment horizontal="center" vertical="center" wrapText="1"/>
    </xf>
    <xf numFmtId="0" fontId="8" fillId="4" borderId="12" xfId="1" applyNumberFormat="1" applyFont="1" applyFill="1" applyBorder="1" applyAlignment="1">
      <alignment horizontal="center" vertical="center" wrapText="1"/>
    </xf>
    <xf numFmtId="164" fontId="7" fillId="3" borderId="13" xfId="0" applyNumberFormat="1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center" vertical="center"/>
    </xf>
    <xf numFmtId="0" fontId="7" fillId="3" borderId="13" xfId="1" applyNumberFormat="1" applyFont="1" applyFill="1" applyBorder="1" applyAlignment="1">
      <alignment horizontal="center" vertical="center" wrapText="1"/>
    </xf>
    <xf numFmtId="0" fontId="7" fillId="3" borderId="14" xfId="1" applyNumberFormat="1" applyFont="1" applyFill="1" applyBorder="1" applyAlignment="1">
      <alignment horizontal="center" vertical="center" wrapText="1"/>
    </xf>
    <xf numFmtId="0" fontId="7" fillId="3" borderId="15" xfId="1" applyNumberFormat="1" applyFont="1" applyFill="1" applyBorder="1" applyAlignment="1">
      <alignment horizontal="center" vertical="center" wrapText="1"/>
    </xf>
    <xf numFmtId="2" fontId="7" fillId="3" borderId="13" xfId="1" applyNumberFormat="1" applyFont="1" applyFill="1" applyBorder="1" applyAlignment="1">
      <alignment horizontal="center" vertical="center" wrapText="1"/>
    </xf>
    <xf numFmtId="2" fontId="7" fillId="3" borderId="14" xfId="1" applyNumberFormat="1" applyFont="1" applyFill="1" applyBorder="1" applyAlignment="1">
      <alignment horizontal="center" vertical="center" wrapText="1"/>
    </xf>
    <xf numFmtId="2" fontId="7" fillId="3" borderId="15" xfId="1" applyNumberFormat="1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2" fontId="13" fillId="3" borderId="4" xfId="1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2" fontId="14" fillId="8" borderId="16" xfId="0" applyNumberFormat="1" applyFont="1" applyFill="1" applyBorder="1" applyAlignment="1">
      <alignment horizontal="center" vertical="center"/>
    </xf>
    <xf numFmtId="2" fontId="14" fillId="8" borderId="17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2" fontId="11" fillId="3" borderId="4" xfId="1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2" fontId="16" fillId="9" borderId="10" xfId="0" applyNumberFormat="1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C63F-4F41-4FCD-8312-FD4C7DD32F7E}">
  <sheetPr>
    <pageSetUpPr fitToPage="1"/>
  </sheetPr>
  <dimension ref="C3:L11"/>
  <sheetViews>
    <sheetView zoomScaleNormal="100" workbookViewId="0">
      <selection activeCell="P15" sqref="P15"/>
    </sheetView>
  </sheetViews>
  <sheetFormatPr defaultColWidth="16.28515625" defaultRowHeight="21" customHeight="1" x14ac:dyDescent="0.25"/>
  <cols>
    <col min="3" max="3" width="8.7109375" customWidth="1"/>
    <col min="4" max="4" width="15.7109375" customWidth="1"/>
    <col min="5" max="5" width="22.5703125" customWidth="1"/>
    <col min="6" max="10" width="15.7109375" hidden="1" customWidth="1"/>
    <col min="11" max="11" width="3.85546875" hidden="1" customWidth="1"/>
    <col min="12" max="12" width="15.7109375" customWidth="1"/>
  </cols>
  <sheetData>
    <row r="3" spans="3:12" ht="24" customHeight="1" x14ac:dyDescent="0.25">
      <c r="C3" s="60" t="s">
        <v>17</v>
      </c>
      <c r="D3" s="60"/>
      <c r="E3" s="60"/>
      <c r="F3" s="60"/>
      <c r="G3" s="60"/>
      <c r="H3" s="60"/>
      <c r="I3" s="60"/>
      <c r="J3" s="60"/>
      <c r="K3" s="60"/>
      <c r="L3" s="60"/>
    </row>
    <row r="4" spans="3:12" ht="24" customHeight="1" x14ac:dyDescent="0.25">
      <c r="C4" s="60" t="s">
        <v>86</v>
      </c>
      <c r="D4" s="60"/>
      <c r="E4" s="60"/>
      <c r="F4" s="60"/>
      <c r="G4" s="60"/>
      <c r="H4" s="60"/>
      <c r="I4" s="60"/>
      <c r="J4" s="60"/>
      <c r="K4" s="60"/>
      <c r="L4" s="60"/>
    </row>
    <row r="6" spans="3:12" ht="21" customHeight="1" x14ac:dyDescent="0.25">
      <c r="C6" s="61" t="s">
        <v>33</v>
      </c>
      <c r="D6" s="61" t="s">
        <v>14</v>
      </c>
      <c r="E6" s="63" t="s">
        <v>39</v>
      </c>
      <c r="F6" s="64"/>
      <c r="G6" s="65" t="s">
        <v>3</v>
      </c>
      <c r="H6" s="66"/>
      <c r="I6" s="69" t="s">
        <v>34</v>
      </c>
      <c r="J6" s="69"/>
      <c r="K6" s="69"/>
      <c r="L6" s="67" t="s">
        <v>24</v>
      </c>
    </row>
    <row r="7" spans="3:12" ht="21" customHeight="1" x14ac:dyDescent="0.25">
      <c r="C7" s="62"/>
      <c r="D7" s="62"/>
      <c r="E7" s="37" t="s">
        <v>32</v>
      </c>
      <c r="F7" s="37">
        <v>9</v>
      </c>
      <c r="G7" s="38" t="s">
        <v>32</v>
      </c>
      <c r="H7" s="38">
        <v>11</v>
      </c>
      <c r="I7" s="50" t="s">
        <v>35</v>
      </c>
      <c r="J7" s="50" t="s">
        <v>36</v>
      </c>
      <c r="K7" s="50">
        <v>50</v>
      </c>
      <c r="L7" s="68"/>
    </row>
    <row r="8" spans="3:12" ht="21" customHeight="1" x14ac:dyDescent="0.25">
      <c r="C8" s="45">
        <v>1</v>
      </c>
      <c r="D8" s="39">
        <v>32688</v>
      </c>
      <c r="E8" s="42">
        <f>'32688'!I12</f>
        <v>492.04000000000008</v>
      </c>
      <c r="F8" s="46">
        <f t="shared" ref="F8:F10" si="0">E8*F$7</f>
        <v>4428.3600000000006</v>
      </c>
      <c r="G8" s="32"/>
      <c r="H8" s="47"/>
      <c r="I8" s="33">
        <f>'32688'!I14</f>
        <v>0</v>
      </c>
      <c r="J8" s="33">
        <f>'32688'!I15</f>
        <v>0</v>
      </c>
      <c r="K8" s="51">
        <f t="shared" ref="K8" si="1">(I8+J8)*K$7</f>
        <v>0</v>
      </c>
      <c r="L8" s="49">
        <f t="shared" ref="L8:L10" si="2">F8+H8+K8</f>
        <v>4428.3600000000006</v>
      </c>
    </row>
    <row r="9" spans="3:12" ht="21" customHeight="1" x14ac:dyDescent="0.25">
      <c r="C9" s="45">
        <v>2</v>
      </c>
      <c r="D9" s="56">
        <v>1308743</v>
      </c>
      <c r="E9" s="42">
        <f>'130874'!I12</f>
        <v>396.86</v>
      </c>
      <c r="F9" s="46">
        <f t="shared" si="0"/>
        <v>3571.7400000000002</v>
      </c>
      <c r="G9" s="32"/>
      <c r="H9" s="47"/>
      <c r="I9" s="33"/>
      <c r="J9" s="33"/>
      <c r="K9" s="51"/>
      <c r="L9" s="57">
        <f t="shared" si="2"/>
        <v>3571.7400000000002</v>
      </c>
    </row>
    <row r="10" spans="3:12" ht="21" customHeight="1" x14ac:dyDescent="0.25">
      <c r="C10" s="45">
        <v>3</v>
      </c>
      <c r="D10" s="56">
        <v>289234</v>
      </c>
      <c r="E10" s="42">
        <f>'289234'!I12</f>
        <v>706.2</v>
      </c>
      <c r="F10" s="46">
        <f t="shared" si="0"/>
        <v>6355.8</v>
      </c>
      <c r="G10" s="32"/>
      <c r="H10" s="47"/>
      <c r="I10" s="33"/>
      <c r="J10" s="33"/>
      <c r="K10" s="51"/>
      <c r="L10" s="57">
        <f t="shared" si="2"/>
        <v>6355.8</v>
      </c>
    </row>
    <row r="11" spans="3:12" ht="21" customHeight="1" x14ac:dyDescent="0.25">
      <c r="C11" s="41"/>
      <c r="D11" s="37"/>
      <c r="E11" s="48">
        <f>SUM(E8:E10)</f>
        <v>1595.1000000000001</v>
      </c>
      <c r="F11" s="44">
        <f>SUM(F8:F10)</f>
        <v>14355.900000000001</v>
      </c>
      <c r="G11" s="48">
        <f t="shared" ref="E11:L11" si="3">SUM(G8:G8)</f>
        <v>0</v>
      </c>
      <c r="H11" s="44">
        <f t="shared" si="3"/>
        <v>0</v>
      </c>
      <c r="I11" s="50">
        <f t="shared" si="3"/>
        <v>0</v>
      </c>
      <c r="J11" s="50">
        <f t="shared" si="3"/>
        <v>0</v>
      </c>
      <c r="K11" s="52">
        <f t="shared" si="3"/>
        <v>0</v>
      </c>
      <c r="L11" s="43">
        <f>SUM(L8:L10)</f>
        <v>14355.900000000001</v>
      </c>
    </row>
  </sheetData>
  <mergeCells count="8">
    <mergeCell ref="C3:L3"/>
    <mergeCell ref="C6:C7"/>
    <mergeCell ref="C4:L4"/>
    <mergeCell ref="E6:F6"/>
    <mergeCell ref="G6:H6"/>
    <mergeCell ref="D6:D7"/>
    <mergeCell ref="L6:L7"/>
    <mergeCell ref="I6:K6"/>
  </mergeCells>
  <conditionalFormatting sqref="C8:D10">
    <cfRule type="duplicateValues" dxfId="71" priority="87"/>
  </conditionalFormatting>
  <pageMargins left="0.7" right="0.7" top="0.75" bottom="0.75" header="0.3" footer="0.3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9E40-8A6B-4268-BF77-5CFF3C3636D4}">
  <sheetPr>
    <pageSetUpPr fitToPage="1"/>
  </sheetPr>
  <dimension ref="B2:M45"/>
  <sheetViews>
    <sheetView topLeftCell="A3" workbookViewId="0">
      <selection activeCell="K52" sqref="K52"/>
    </sheetView>
  </sheetViews>
  <sheetFormatPr defaultRowHeight="21" customHeight="1" x14ac:dyDescent="0.25"/>
  <cols>
    <col min="2" max="2" width="6.42578125" bestFit="1" customWidth="1"/>
    <col min="3" max="3" width="14.42578125" bestFit="1" customWidth="1"/>
    <col min="4" max="4" width="9.140625" bestFit="1" customWidth="1"/>
    <col min="5" max="5" width="9.85546875" bestFit="1" customWidth="1"/>
    <col min="6" max="6" width="11.5703125" bestFit="1" customWidth="1"/>
    <col min="7" max="7" width="14.85546875" customWidth="1"/>
    <col min="8" max="8" width="10.28515625" bestFit="1" customWidth="1"/>
    <col min="9" max="9" width="11.5703125" customWidth="1"/>
    <col min="10" max="10" width="12" bestFit="1" customWidth="1"/>
    <col min="11" max="11" width="19.85546875" bestFit="1" customWidth="1"/>
    <col min="12" max="12" width="30.5703125" customWidth="1"/>
    <col min="13" max="13" width="14.28515625" bestFit="1" customWidth="1"/>
  </cols>
  <sheetData>
    <row r="2" spans="2:12" ht="21" customHeight="1" thickBot="1" x14ac:dyDescent="0.3"/>
    <row r="3" spans="2:12" ht="21" customHeight="1" thickBot="1" x14ac:dyDescent="0.3">
      <c r="B3" s="70" t="s">
        <v>18</v>
      </c>
      <c r="C3" s="71"/>
      <c r="D3" s="71"/>
      <c r="E3" s="72"/>
      <c r="F3" s="73" t="s">
        <v>19</v>
      </c>
      <c r="G3" s="74"/>
      <c r="H3" s="75"/>
      <c r="I3" s="73" t="s">
        <v>20</v>
      </c>
      <c r="J3" s="74"/>
      <c r="K3" s="75"/>
      <c r="L3" s="40" t="s">
        <v>25</v>
      </c>
    </row>
    <row r="4" spans="2:12" ht="63" customHeight="1" x14ac:dyDescent="0.25">
      <c r="B4" s="76" t="s">
        <v>17</v>
      </c>
      <c r="C4" s="77"/>
      <c r="D4" s="77"/>
      <c r="E4" s="78"/>
      <c r="F4" s="79">
        <v>32688</v>
      </c>
      <c r="G4" s="80"/>
      <c r="H4" s="81"/>
      <c r="I4" s="82"/>
      <c r="J4" s="83"/>
      <c r="K4" s="84"/>
      <c r="L4" s="13" t="s">
        <v>31</v>
      </c>
    </row>
    <row r="7" spans="2:12" ht="21" customHeight="1" x14ac:dyDescent="0.25">
      <c r="B7" s="85" t="s">
        <v>12</v>
      </c>
      <c r="C7" s="85"/>
      <c r="D7" s="85"/>
      <c r="E7" s="86"/>
      <c r="F7" s="87"/>
      <c r="G7" s="88"/>
      <c r="J7" s="89" t="s">
        <v>21</v>
      </c>
      <c r="K7" s="89"/>
      <c r="L7" s="11">
        <v>45992</v>
      </c>
    </row>
    <row r="8" spans="2:12" ht="21" customHeight="1" x14ac:dyDescent="0.25">
      <c r="B8" s="85" t="s">
        <v>22</v>
      </c>
      <c r="C8" s="85"/>
      <c r="D8" s="85"/>
      <c r="E8" s="86"/>
      <c r="F8" s="87"/>
      <c r="G8" s="88"/>
      <c r="J8" s="85" t="s">
        <v>23</v>
      </c>
      <c r="K8" s="85"/>
      <c r="L8" s="11">
        <v>46022</v>
      </c>
    </row>
    <row r="11" spans="2:12" ht="21" customHeight="1" x14ac:dyDescent="0.25">
      <c r="E11" s="63" t="s">
        <v>26</v>
      </c>
      <c r="F11" s="90"/>
      <c r="G11" s="64"/>
      <c r="H11" s="37" t="s">
        <v>15</v>
      </c>
      <c r="I11" s="38" t="s">
        <v>27</v>
      </c>
      <c r="J11" s="69" t="s">
        <v>24</v>
      </c>
      <c r="K11" s="69"/>
    </row>
    <row r="12" spans="2:12" ht="21" customHeight="1" x14ac:dyDescent="0.25">
      <c r="E12" s="91" t="s">
        <v>39</v>
      </c>
      <c r="F12" s="92"/>
      <c r="G12" s="93"/>
      <c r="H12" s="31">
        <v>9</v>
      </c>
      <c r="I12" s="32">
        <f>J37</f>
        <v>492.04000000000008</v>
      </c>
      <c r="J12" s="94">
        <f>H12*I12</f>
        <v>4428.3600000000006</v>
      </c>
      <c r="K12" s="94"/>
    </row>
    <row r="13" spans="2:12" ht="21" hidden="1" customHeight="1" x14ac:dyDescent="0.25">
      <c r="E13" s="91" t="s">
        <v>3</v>
      </c>
      <c r="F13" s="92"/>
      <c r="G13" s="93"/>
      <c r="H13" s="31">
        <v>11</v>
      </c>
      <c r="I13" s="32">
        <f>J44</f>
        <v>0</v>
      </c>
      <c r="J13" s="94">
        <f>H13*I13</f>
        <v>0</v>
      </c>
      <c r="K13" s="94"/>
    </row>
    <row r="14" spans="2:12" ht="21" hidden="1" customHeight="1" x14ac:dyDescent="0.25">
      <c r="E14" s="91" t="s">
        <v>28</v>
      </c>
      <c r="F14" s="92"/>
      <c r="G14" s="93"/>
      <c r="H14" s="31">
        <v>50</v>
      </c>
      <c r="I14" s="33">
        <v>0</v>
      </c>
      <c r="J14" s="94">
        <f t="shared" ref="J14:J15" si="0">H14*I14</f>
        <v>0</v>
      </c>
      <c r="K14" s="94"/>
    </row>
    <row r="15" spans="2:12" ht="21" hidden="1" customHeight="1" x14ac:dyDescent="0.25">
      <c r="E15" s="91" t="s">
        <v>29</v>
      </c>
      <c r="F15" s="92"/>
      <c r="G15" s="93"/>
      <c r="H15" s="31">
        <v>50</v>
      </c>
      <c r="I15" s="33">
        <v>0</v>
      </c>
      <c r="J15" s="94">
        <f t="shared" si="0"/>
        <v>0</v>
      </c>
      <c r="K15" s="94"/>
    </row>
    <row r="16" spans="2:12" ht="21" customHeight="1" thickBot="1" x14ac:dyDescent="0.3">
      <c r="E16" s="95"/>
      <c r="F16" s="95"/>
      <c r="G16" s="95"/>
      <c r="H16" s="60" t="s">
        <v>16</v>
      </c>
      <c r="I16" s="60"/>
      <c r="J16" s="96">
        <f>SUM(J12:K15)</f>
        <v>4428.3600000000006</v>
      </c>
      <c r="K16" s="97"/>
    </row>
    <row r="17" spans="2:13" ht="21" customHeight="1" thickTop="1" x14ac:dyDescent="0.25">
      <c r="E17" s="34"/>
      <c r="F17" s="34"/>
      <c r="G17" s="34"/>
      <c r="H17" s="34"/>
      <c r="I17" s="34"/>
      <c r="J17" s="34"/>
      <c r="K17" s="34"/>
    </row>
    <row r="18" spans="2:13" ht="21" hidden="1" customHeight="1" x14ac:dyDescent="0.25">
      <c r="E18" s="98"/>
      <c r="F18" s="99"/>
      <c r="G18" s="99"/>
      <c r="H18" s="100"/>
      <c r="I18" s="101"/>
      <c r="J18" s="101"/>
      <c r="K18" s="101"/>
    </row>
    <row r="19" spans="2:13" ht="21" hidden="1" customHeight="1" x14ac:dyDescent="0.25">
      <c r="E19" s="98"/>
      <c r="F19" s="99"/>
      <c r="G19" s="99"/>
      <c r="H19" s="100"/>
      <c r="I19" s="101"/>
      <c r="J19" s="101"/>
      <c r="K19" s="101"/>
    </row>
    <row r="20" spans="2:13" ht="21" hidden="1" customHeight="1" thickBot="1" x14ac:dyDescent="0.3">
      <c r="E20" s="102" t="s">
        <v>30</v>
      </c>
      <c r="F20" s="103"/>
      <c r="G20" s="103"/>
      <c r="H20" s="104"/>
      <c r="I20" s="105">
        <f>J16-I18-I19</f>
        <v>4428.3600000000006</v>
      </c>
      <c r="J20" s="105"/>
      <c r="K20" s="105"/>
    </row>
    <row r="21" spans="2:13" ht="21" hidden="1" customHeight="1" thickTop="1" x14ac:dyDescent="0.25"/>
    <row r="22" spans="2:13" ht="21" customHeight="1" thickBot="1" x14ac:dyDescent="0.3"/>
    <row r="23" spans="2:13" ht="51.75" customHeight="1" thickBot="1" x14ac:dyDescent="0.3">
      <c r="B23" s="15" t="s">
        <v>4</v>
      </c>
      <c r="C23" s="16" t="s">
        <v>0</v>
      </c>
      <c r="D23" s="17" t="s">
        <v>5</v>
      </c>
      <c r="E23" s="18" t="s">
        <v>6</v>
      </c>
      <c r="F23" s="19" t="s">
        <v>7</v>
      </c>
      <c r="G23" s="19" t="s">
        <v>8</v>
      </c>
      <c r="H23" s="20" t="s">
        <v>9</v>
      </c>
      <c r="I23" s="21" t="s">
        <v>10</v>
      </c>
      <c r="J23" s="22" t="s">
        <v>11</v>
      </c>
      <c r="K23" s="23" t="s">
        <v>13</v>
      </c>
      <c r="L23" s="23" t="s">
        <v>1</v>
      </c>
      <c r="M23" s="23" t="s">
        <v>53</v>
      </c>
    </row>
    <row r="24" spans="2:13" ht="21" customHeight="1" x14ac:dyDescent="0.25">
      <c r="B24" s="5">
        <v>1</v>
      </c>
      <c r="C24" s="6">
        <v>46008</v>
      </c>
      <c r="D24" s="7" t="s">
        <v>37</v>
      </c>
      <c r="E24" s="8">
        <v>19324</v>
      </c>
      <c r="F24" s="8">
        <v>32688</v>
      </c>
      <c r="G24" s="8" t="s">
        <v>38</v>
      </c>
      <c r="H24" s="9">
        <v>18.559999999999999</v>
      </c>
      <c r="I24" s="9">
        <v>53.8</v>
      </c>
      <c r="J24" s="9">
        <v>35.239999999999995</v>
      </c>
      <c r="K24" s="35">
        <v>0.67569444444444449</v>
      </c>
      <c r="L24" s="10" t="s">
        <v>39</v>
      </c>
      <c r="M24" s="10" t="s">
        <v>40</v>
      </c>
    </row>
    <row r="25" spans="2:13" ht="21" customHeight="1" x14ac:dyDescent="0.25">
      <c r="B25" s="5">
        <v>2</v>
      </c>
      <c r="C25" s="6">
        <v>46009</v>
      </c>
      <c r="D25" s="7" t="s">
        <v>41</v>
      </c>
      <c r="E25" s="8">
        <v>19377</v>
      </c>
      <c r="F25" s="8">
        <v>32688</v>
      </c>
      <c r="G25" s="8" t="s">
        <v>38</v>
      </c>
      <c r="H25" s="9">
        <v>18.559999999999999</v>
      </c>
      <c r="I25" s="9">
        <v>51.8</v>
      </c>
      <c r="J25" s="9">
        <v>33.239999999999995</v>
      </c>
      <c r="K25" s="35">
        <v>0.42291666666666666</v>
      </c>
      <c r="L25" s="10" t="s">
        <v>39</v>
      </c>
      <c r="M25" s="10" t="s">
        <v>40</v>
      </c>
    </row>
    <row r="26" spans="2:13" ht="21" customHeight="1" x14ac:dyDescent="0.25">
      <c r="B26" s="5">
        <v>3</v>
      </c>
      <c r="C26" s="6">
        <v>46011</v>
      </c>
      <c r="D26" s="7" t="s">
        <v>42</v>
      </c>
      <c r="E26" s="8">
        <v>19552</v>
      </c>
      <c r="F26" s="8">
        <v>32688</v>
      </c>
      <c r="G26" s="8" t="s">
        <v>38</v>
      </c>
      <c r="H26" s="9">
        <v>18.559999999999999</v>
      </c>
      <c r="I26" s="9">
        <v>56.64</v>
      </c>
      <c r="J26" s="9">
        <v>38.08</v>
      </c>
      <c r="K26" s="35">
        <v>0.67291666666666672</v>
      </c>
      <c r="L26" s="10" t="s">
        <v>39</v>
      </c>
      <c r="M26" s="10" t="s">
        <v>40</v>
      </c>
    </row>
    <row r="27" spans="2:13" ht="21" customHeight="1" x14ac:dyDescent="0.25">
      <c r="B27" s="5">
        <v>4</v>
      </c>
      <c r="C27" s="6">
        <v>46011</v>
      </c>
      <c r="D27" s="7" t="s">
        <v>43</v>
      </c>
      <c r="E27" s="8">
        <v>19586</v>
      </c>
      <c r="F27" s="8">
        <v>32688</v>
      </c>
      <c r="G27" s="8" t="s">
        <v>38</v>
      </c>
      <c r="H27" s="9">
        <v>18.559999999999999</v>
      </c>
      <c r="I27" s="9">
        <v>55.12</v>
      </c>
      <c r="J27" s="9">
        <v>36.56</v>
      </c>
      <c r="K27" s="35">
        <v>0.92708333333333337</v>
      </c>
      <c r="L27" s="10" t="s">
        <v>39</v>
      </c>
      <c r="M27" s="10" t="s">
        <v>40</v>
      </c>
    </row>
    <row r="28" spans="2:13" ht="21" customHeight="1" x14ac:dyDescent="0.25">
      <c r="B28" s="5">
        <v>5</v>
      </c>
      <c r="C28" s="6">
        <v>46012</v>
      </c>
      <c r="D28" s="7" t="s">
        <v>44</v>
      </c>
      <c r="E28" s="8">
        <v>309</v>
      </c>
      <c r="F28" s="8">
        <v>32688</v>
      </c>
      <c r="G28" s="8" t="s">
        <v>38</v>
      </c>
      <c r="H28" s="9">
        <v>18.559999999999999</v>
      </c>
      <c r="I28" s="9">
        <v>58.68</v>
      </c>
      <c r="J28" s="9">
        <v>40.120000000000005</v>
      </c>
      <c r="K28" s="35">
        <v>0.92638888888888893</v>
      </c>
      <c r="L28" s="10" t="s">
        <v>39</v>
      </c>
      <c r="M28" s="10" t="s">
        <v>40</v>
      </c>
    </row>
    <row r="29" spans="2:13" ht="21" customHeight="1" x14ac:dyDescent="0.25">
      <c r="B29" s="5">
        <v>6</v>
      </c>
      <c r="C29" s="6">
        <v>46012</v>
      </c>
      <c r="D29" s="7" t="s">
        <v>45</v>
      </c>
      <c r="E29" s="8">
        <v>19641</v>
      </c>
      <c r="F29" s="8">
        <v>32688</v>
      </c>
      <c r="G29" s="8" t="s">
        <v>38</v>
      </c>
      <c r="H29" s="9">
        <v>18.559999999999999</v>
      </c>
      <c r="I29" s="9">
        <v>49.72</v>
      </c>
      <c r="J29" s="9">
        <v>31.16</v>
      </c>
      <c r="K29" s="35">
        <v>0.4</v>
      </c>
      <c r="L29" s="10" t="s">
        <v>39</v>
      </c>
      <c r="M29" s="10" t="s">
        <v>40</v>
      </c>
    </row>
    <row r="30" spans="2:13" ht="21" customHeight="1" x14ac:dyDescent="0.25">
      <c r="B30" s="5">
        <v>7</v>
      </c>
      <c r="C30" s="6">
        <v>46013</v>
      </c>
      <c r="D30" s="7" t="s">
        <v>46</v>
      </c>
      <c r="E30" s="8">
        <v>388</v>
      </c>
      <c r="F30" s="8">
        <v>32688</v>
      </c>
      <c r="G30" s="8" t="s">
        <v>38</v>
      </c>
      <c r="H30" s="9">
        <v>18.559999999999999</v>
      </c>
      <c r="I30" s="9">
        <v>62.5</v>
      </c>
      <c r="J30" s="9">
        <v>43.94</v>
      </c>
      <c r="K30" s="35">
        <v>0.45833333333333331</v>
      </c>
      <c r="L30" s="10" t="s">
        <v>39</v>
      </c>
      <c r="M30" s="10" t="s">
        <v>40</v>
      </c>
    </row>
    <row r="31" spans="2:13" ht="21" customHeight="1" x14ac:dyDescent="0.25">
      <c r="B31" s="5">
        <v>8</v>
      </c>
      <c r="C31" s="6">
        <v>46013</v>
      </c>
      <c r="D31" s="7" t="s">
        <v>47</v>
      </c>
      <c r="E31" s="8">
        <v>437</v>
      </c>
      <c r="F31" s="8">
        <v>32688</v>
      </c>
      <c r="G31" s="8" t="s">
        <v>38</v>
      </c>
      <c r="H31" s="9">
        <v>18.559999999999999</v>
      </c>
      <c r="I31" s="9">
        <v>54.7</v>
      </c>
      <c r="J31" s="9">
        <v>36.14</v>
      </c>
      <c r="K31" s="35">
        <v>0.64930555555555558</v>
      </c>
      <c r="L31" s="10" t="s">
        <v>39</v>
      </c>
      <c r="M31" s="10" t="s">
        <v>40</v>
      </c>
    </row>
    <row r="32" spans="2:13" ht="21" customHeight="1" x14ac:dyDescent="0.25">
      <c r="B32" s="5">
        <v>9</v>
      </c>
      <c r="C32" s="6">
        <v>46014</v>
      </c>
      <c r="D32" s="7" t="s">
        <v>48</v>
      </c>
      <c r="E32" s="8">
        <v>475</v>
      </c>
      <c r="F32" s="8">
        <v>32688</v>
      </c>
      <c r="G32" s="8" t="s">
        <v>38</v>
      </c>
      <c r="H32" s="9">
        <v>18.559999999999999</v>
      </c>
      <c r="I32" s="9">
        <v>62.44</v>
      </c>
      <c r="J32" s="9">
        <v>43.879999999999995</v>
      </c>
      <c r="K32" s="35">
        <v>0.13055555555555556</v>
      </c>
      <c r="L32" s="10" t="s">
        <v>39</v>
      </c>
      <c r="M32" s="10" t="s">
        <v>40</v>
      </c>
    </row>
    <row r="33" spans="2:13" ht="21" customHeight="1" x14ac:dyDescent="0.25">
      <c r="B33" s="5">
        <v>10</v>
      </c>
      <c r="C33" s="6">
        <v>46014</v>
      </c>
      <c r="D33" s="7" t="s">
        <v>49</v>
      </c>
      <c r="E33" s="8">
        <v>489</v>
      </c>
      <c r="F33" s="8">
        <v>32688</v>
      </c>
      <c r="G33" s="8" t="s">
        <v>38</v>
      </c>
      <c r="H33" s="9">
        <v>18.559999999999999</v>
      </c>
      <c r="I33" s="9">
        <v>59.88</v>
      </c>
      <c r="J33" s="9">
        <v>41.320000000000007</v>
      </c>
      <c r="K33" s="35">
        <v>0.51388888888888884</v>
      </c>
      <c r="L33" s="10" t="s">
        <v>39</v>
      </c>
      <c r="M33" s="10" t="s">
        <v>40</v>
      </c>
    </row>
    <row r="34" spans="2:13" ht="21" customHeight="1" x14ac:dyDescent="0.25">
      <c r="B34" s="5">
        <v>11</v>
      </c>
      <c r="C34" s="6">
        <v>46015</v>
      </c>
      <c r="D34" s="7" t="s">
        <v>50</v>
      </c>
      <c r="E34" s="8">
        <v>515</v>
      </c>
      <c r="F34" s="8">
        <v>32688</v>
      </c>
      <c r="G34" s="8" t="s">
        <v>38</v>
      </c>
      <c r="H34" s="9">
        <v>18.559999999999999</v>
      </c>
      <c r="I34" s="9">
        <v>61.46</v>
      </c>
      <c r="J34" s="9">
        <v>42.900000000000006</v>
      </c>
      <c r="K34" s="35">
        <v>0.3527777777777778</v>
      </c>
      <c r="L34" s="10" t="s">
        <v>39</v>
      </c>
      <c r="M34" s="10" t="s">
        <v>40</v>
      </c>
    </row>
    <row r="35" spans="2:13" ht="21" customHeight="1" x14ac:dyDescent="0.25">
      <c r="B35" s="5">
        <v>12</v>
      </c>
      <c r="C35" s="6">
        <v>46016</v>
      </c>
      <c r="D35" s="7" t="s">
        <v>51</v>
      </c>
      <c r="E35" s="8">
        <v>534</v>
      </c>
      <c r="F35" s="8">
        <v>32688</v>
      </c>
      <c r="G35" s="8" t="s">
        <v>38</v>
      </c>
      <c r="H35" s="9">
        <v>18.559999999999999</v>
      </c>
      <c r="I35" s="9">
        <v>54.36</v>
      </c>
      <c r="J35" s="9">
        <v>35.799999999999997</v>
      </c>
      <c r="K35" s="35">
        <v>0.41805555555555557</v>
      </c>
      <c r="L35" s="10" t="s">
        <v>39</v>
      </c>
      <c r="M35" s="10" t="s">
        <v>40</v>
      </c>
    </row>
    <row r="36" spans="2:13" ht="21" customHeight="1" x14ac:dyDescent="0.25">
      <c r="B36" s="5">
        <v>13</v>
      </c>
      <c r="C36" s="6">
        <v>46018</v>
      </c>
      <c r="D36" s="7" t="s">
        <v>52</v>
      </c>
      <c r="E36" s="8">
        <v>550</v>
      </c>
      <c r="F36" s="8">
        <v>32688</v>
      </c>
      <c r="G36" s="8" t="s">
        <v>38</v>
      </c>
      <c r="H36" s="9">
        <v>18.559999999999999</v>
      </c>
      <c r="I36" s="9">
        <v>52.22</v>
      </c>
      <c r="J36" s="9">
        <v>33.659999999999997</v>
      </c>
      <c r="K36" s="35">
        <v>0.41249999999999998</v>
      </c>
      <c r="L36" s="10" t="s">
        <v>39</v>
      </c>
      <c r="M36" s="10" t="s">
        <v>40</v>
      </c>
    </row>
    <row r="37" spans="2:13" ht="21" customHeight="1" x14ac:dyDescent="0.3">
      <c r="J37" s="4">
        <f>SUM(J24:J36)</f>
        <v>492.04000000000008</v>
      </c>
      <c r="K37" s="12">
        <v>9</v>
      </c>
    </row>
    <row r="38" spans="2:13" ht="21" customHeight="1" thickBot="1" x14ac:dyDescent="0.35">
      <c r="J38" s="1"/>
      <c r="K38" s="14">
        <f>J37*K37</f>
        <v>4428.3600000000006</v>
      </c>
    </row>
    <row r="39" spans="2:13" ht="21" customHeight="1" thickTop="1" x14ac:dyDescent="0.25"/>
    <row r="42" spans="2:13" ht="41.25" hidden="1" customHeight="1" thickBot="1" x14ac:dyDescent="0.3">
      <c r="B42" s="24" t="s">
        <v>4</v>
      </c>
      <c r="C42" s="25" t="s">
        <v>0</v>
      </c>
      <c r="D42" s="26" t="s">
        <v>5</v>
      </c>
      <c r="E42" s="27" t="s">
        <v>6</v>
      </c>
      <c r="F42" s="24" t="s">
        <v>7</v>
      </c>
      <c r="G42" s="24" t="s">
        <v>8</v>
      </c>
      <c r="H42" s="28" t="s">
        <v>9</v>
      </c>
      <c r="I42" s="29" t="s">
        <v>10</v>
      </c>
      <c r="J42" s="30" t="s">
        <v>11</v>
      </c>
      <c r="K42" s="30" t="s">
        <v>1</v>
      </c>
    </row>
    <row r="43" spans="2:13" ht="21" hidden="1" customHeight="1" x14ac:dyDescent="0.25">
      <c r="B43" s="3"/>
      <c r="C43" s="53"/>
      <c r="D43" s="54"/>
      <c r="E43" s="10"/>
      <c r="F43" s="10"/>
      <c r="G43" s="10"/>
      <c r="H43" s="9"/>
      <c r="I43" s="9"/>
      <c r="J43" s="36"/>
      <c r="K43" s="2"/>
    </row>
    <row r="44" spans="2:13" ht="21" hidden="1" customHeight="1" x14ac:dyDescent="0.3">
      <c r="J44" s="4">
        <f>SUM(J43:J43)</f>
        <v>0</v>
      </c>
      <c r="K44" s="12">
        <v>11</v>
      </c>
    </row>
    <row r="45" spans="2:13" ht="21" hidden="1" customHeight="1" thickBot="1" x14ac:dyDescent="0.35">
      <c r="J45" s="1"/>
      <c r="K45" s="14">
        <f>J44*K44</f>
        <v>0</v>
      </c>
    </row>
  </sheetData>
  <mergeCells count="31">
    <mergeCell ref="E18:H18"/>
    <mergeCell ref="I18:K18"/>
    <mergeCell ref="E19:H19"/>
    <mergeCell ref="I19:K19"/>
    <mergeCell ref="E20:H20"/>
    <mergeCell ref="I20:K20"/>
    <mergeCell ref="E14:G14"/>
    <mergeCell ref="J14:K14"/>
    <mergeCell ref="E15:G15"/>
    <mergeCell ref="J15:K15"/>
    <mergeCell ref="E16:G16"/>
    <mergeCell ref="H16:I16"/>
    <mergeCell ref="J16:K16"/>
    <mergeCell ref="E11:G11"/>
    <mergeCell ref="J11:K11"/>
    <mergeCell ref="E12:G12"/>
    <mergeCell ref="J12:K12"/>
    <mergeCell ref="E13:G13"/>
    <mergeCell ref="J13:K13"/>
    <mergeCell ref="B7:D7"/>
    <mergeCell ref="E7:G7"/>
    <mergeCell ref="J7:K7"/>
    <mergeCell ref="B8:D8"/>
    <mergeCell ref="E8:G8"/>
    <mergeCell ref="J8:K8"/>
    <mergeCell ref="B3:E3"/>
    <mergeCell ref="F3:H3"/>
    <mergeCell ref="I3:K3"/>
    <mergeCell ref="B4:E4"/>
    <mergeCell ref="F4:H4"/>
    <mergeCell ref="I4:K4"/>
  </mergeCells>
  <phoneticPr fontId="20" type="noConversion"/>
  <conditionalFormatting sqref="F3">
    <cfRule type="duplicateValues" dxfId="70" priority="84"/>
  </conditionalFormatting>
  <conditionalFormatting sqref="I3:I4">
    <cfRule type="duplicateValues" dxfId="69" priority="85"/>
  </conditionalFormatting>
  <conditionalFormatting sqref="E12:E15">
    <cfRule type="duplicateValues" dxfId="68" priority="83"/>
  </conditionalFormatting>
  <conditionalFormatting sqref="D42:E42">
    <cfRule type="duplicateValues" dxfId="67" priority="45"/>
  </conditionalFormatting>
  <conditionalFormatting sqref="D42:E42">
    <cfRule type="duplicateValues" dxfId="66" priority="46"/>
  </conditionalFormatting>
  <conditionalFormatting sqref="D24:D36">
    <cfRule type="duplicateValues" dxfId="65" priority="21"/>
  </conditionalFormatting>
  <conditionalFormatting sqref="E24:E36">
    <cfRule type="duplicateValues" dxfId="64" priority="20"/>
  </conditionalFormatting>
  <conditionalFormatting sqref="D43">
    <cfRule type="duplicateValues" dxfId="63" priority="5"/>
    <cfRule type="duplicateValues" dxfId="62" priority="6"/>
    <cfRule type="duplicateValues" dxfId="61" priority="7"/>
    <cfRule type="duplicateValues" dxfId="60" priority="8"/>
    <cfRule type="duplicateValues" dxfId="59" priority="9"/>
  </conditionalFormatting>
  <conditionalFormatting sqref="D43:E43">
    <cfRule type="duplicateValues" dxfId="58" priority="10"/>
    <cfRule type="duplicateValues" dxfId="57" priority="11"/>
    <cfRule type="duplicateValues" dxfId="56" priority="12"/>
  </conditionalFormatting>
  <conditionalFormatting sqref="D43:E43">
    <cfRule type="duplicateValues" dxfId="55" priority="13"/>
  </conditionalFormatting>
  <conditionalFormatting sqref="E43">
    <cfRule type="duplicateValues" dxfId="54" priority="14"/>
    <cfRule type="duplicateValues" dxfId="53" priority="15"/>
    <cfRule type="duplicateValues" dxfId="52" priority="16"/>
  </conditionalFormatting>
  <conditionalFormatting sqref="D23">
    <cfRule type="duplicateValues" dxfId="51" priority="2"/>
  </conditionalFormatting>
  <conditionalFormatting sqref="D23">
    <cfRule type="duplicateValues" dxfId="50" priority="4"/>
  </conditionalFormatting>
  <conditionalFormatting sqref="E23">
    <cfRule type="duplicateValues" dxfId="49" priority="1"/>
  </conditionalFormatting>
  <conditionalFormatting sqref="E23">
    <cfRule type="duplicateValues" dxfId="48" priority="3"/>
  </conditionalFormatting>
  <pageMargins left="0.7" right="0.7" top="0.75" bottom="0.75" header="0.3" footer="0.3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569B-644B-496C-B384-F54C0C5BE08E}">
  <sheetPr>
    <pageSetUpPr fitToPage="1"/>
  </sheetPr>
  <dimension ref="B2:M44"/>
  <sheetViews>
    <sheetView tabSelected="1" workbookViewId="0">
      <selection activeCell="M11" sqref="M11"/>
    </sheetView>
  </sheetViews>
  <sheetFormatPr defaultRowHeight="21" customHeight="1" x14ac:dyDescent="0.25"/>
  <cols>
    <col min="2" max="2" width="6.42578125" bestFit="1" customWidth="1"/>
    <col min="3" max="3" width="14.42578125" bestFit="1" customWidth="1"/>
    <col min="4" max="4" width="9.140625" bestFit="1" customWidth="1"/>
    <col min="5" max="5" width="9.85546875" bestFit="1" customWidth="1"/>
    <col min="6" max="6" width="11.5703125" bestFit="1" customWidth="1"/>
    <col min="7" max="7" width="14.85546875" customWidth="1"/>
    <col min="8" max="8" width="10.28515625" bestFit="1" customWidth="1"/>
    <col min="9" max="9" width="11.5703125" customWidth="1"/>
    <col min="10" max="10" width="12" bestFit="1" customWidth="1"/>
    <col min="11" max="11" width="19.85546875" bestFit="1" customWidth="1"/>
    <col min="12" max="12" width="30.5703125" customWidth="1"/>
    <col min="13" max="13" width="14.28515625" bestFit="1" customWidth="1"/>
  </cols>
  <sheetData>
    <row r="2" spans="2:12" ht="21" customHeight="1" thickBot="1" x14ac:dyDescent="0.3"/>
    <row r="3" spans="2:12" ht="21" customHeight="1" thickBot="1" x14ac:dyDescent="0.3">
      <c r="B3" s="70" t="s">
        <v>18</v>
      </c>
      <c r="C3" s="71"/>
      <c r="D3" s="71"/>
      <c r="E3" s="72"/>
      <c r="F3" s="73" t="s">
        <v>19</v>
      </c>
      <c r="G3" s="74"/>
      <c r="H3" s="75"/>
      <c r="I3" s="73" t="s">
        <v>20</v>
      </c>
      <c r="J3" s="74"/>
      <c r="K3" s="75"/>
      <c r="L3" s="59" t="s">
        <v>25</v>
      </c>
    </row>
    <row r="4" spans="2:12" ht="63" customHeight="1" x14ac:dyDescent="0.25">
      <c r="B4" s="76" t="s">
        <v>17</v>
      </c>
      <c r="C4" s="77"/>
      <c r="D4" s="77"/>
      <c r="E4" s="78"/>
      <c r="F4" s="79">
        <v>130874</v>
      </c>
      <c r="G4" s="80"/>
      <c r="H4" s="81"/>
      <c r="I4" s="82"/>
      <c r="J4" s="83"/>
      <c r="K4" s="84"/>
      <c r="L4" s="13" t="s">
        <v>31</v>
      </c>
    </row>
    <row r="7" spans="2:12" ht="21" customHeight="1" x14ac:dyDescent="0.25">
      <c r="B7" s="85" t="s">
        <v>12</v>
      </c>
      <c r="C7" s="85"/>
      <c r="D7" s="85"/>
      <c r="E7" s="86"/>
      <c r="F7" s="87"/>
      <c r="G7" s="88"/>
      <c r="J7" s="89" t="s">
        <v>21</v>
      </c>
      <c r="K7" s="89"/>
      <c r="L7" s="11">
        <v>45992</v>
      </c>
    </row>
    <row r="8" spans="2:12" ht="21" customHeight="1" x14ac:dyDescent="0.25">
      <c r="B8" s="85" t="s">
        <v>22</v>
      </c>
      <c r="C8" s="85"/>
      <c r="D8" s="85"/>
      <c r="E8" s="86"/>
      <c r="F8" s="87"/>
      <c r="G8" s="88"/>
      <c r="J8" s="85" t="s">
        <v>23</v>
      </c>
      <c r="K8" s="85"/>
      <c r="L8" s="11">
        <v>46022</v>
      </c>
    </row>
    <row r="11" spans="2:12" ht="21" customHeight="1" x14ac:dyDescent="0.25">
      <c r="E11" s="63" t="s">
        <v>26</v>
      </c>
      <c r="F11" s="90"/>
      <c r="G11" s="64"/>
      <c r="H11" s="58" t="s">
        <v>15</v>
      </c>
      <c r="I11" s="55" t="s">
        <v>27</v>
      </c>
      <c r="J11" s="69" t="s">
        <v>24</v>
      </c>
      <c r="K11" s="69"/>
    </row>
    <row r="12" spans="2:12" ht="21" customHeight="1" x14ac:dyDescent="0.25">
      <c r="E12" s="91" t="s">
        <v>39</v>
      </c>
      <c r="F12" s="92"/>
      <c r="G12" s="93"/>
      <c r="H12" s="31">
        <v>9</v>
      </c>
      <c r="I12" s="32">
        <f>J36</f>
        <v>396.86</v>
      </c>
      <c r="J12" s="94">
        <f>H12*I12</f>
        <v>3571.7400000000002</v>
      </c>
      <c r="K12" s="94"/>
    </row>
    <row r="13" spans="2:12" ht="21" hidden="1" customHeight="1" x14ac:dyDescent="0.25">
      <c r="E13" s="91" t="s">
        <v>3</v>
      </c>
      <c r="F13" s="92"/>
      <c r="G13" s="93"/>
      <c r="H13" s="31">
        <v>11</v>
      </c>
      <c r="I13" s="32">
        <f>J43</f>
        <v>0</v>
      </c>
      <c r="J13" s="94">
        <f>H13*I13</f>
        <v>0</v>
      </c>
      <c r="K13" s="94"/>
    </row>
    <row r="14" spans="2:12" ht="21" hidden="1" customHeight="1" x14ac:dyDescent="0.25">
      <c r="E14" s="91" t="s">
        <v>28</v>
      </c>
      <c r="F14" s="92"/>
      <c r="G14" s="93"/>
      <c r="H14" s="31">
        <v>50</v>
      </c>
      <c r="I14" s="33">
        <v>0</v>
      </c>
      <c r="J14" s="94">
        <f t="shared" ref="J14:J15" si="0">H14*I14</f>
        <v>0</v>
      </c>
      <c r="K14" s="94"/>
    </row>
    <row r="15" spans="2:12" ht="21" hidden="1" customHeight="1" x14ac:dyDescent="0.25">
      <c r="E15" s="91" t="s">
        <v>29</v>
      </c>
      <c r="F15" s="92"/>
      <c r="G15" s="93"/>
      <c r="H15" s="31">
        <v>50</v>
      </c>
      <c r="I15" s="33">
        <v>0</v>
      </c>
      <c r="J15" s="94">
        <f t="shared" si="0"/>
        <v>0</v>
      </c>
      <c r="K15" s="94"/>
    </row>
    <row r="16" spans="2:12" ht="21" customHeight="1" thickBot="1" x14ac:dyDescent="0.3">
      <c r="E16" s="95"/>
      <c r="F16" s="95"/>
      <c r="G16" s="95"/>
      <c r="H16" s="60" t="s">
        <v>16</v>
      </c>
      <c r="I16" s="60"/>
      <c r="J16" s="96">
        <f>SUM(J12:K15)</f>
        <v>3571.7400000000002</v>
      </c>
      <c r="K16" s="97"/>
    </row>
    <row r="17" spans="2:13" ht="21" customHeight="1" thickTop="1" x14ac:dyDescent="0.25">
      <c r="E17" s="34"/>
      <c r="F17" s="34"/>
      <c r="G17" s="34"/>
      <c r="H17" s="34"/>
      <c r="I17" s="34"/>
      <c r="J17" s="34"/>
      <c r="K17" s="34"/>
    </row>
    <row r="18" spans="2:13" ht="21" hidden="1" customHeight="1" x14ac:dyDescent="0.25">
      <c r="E18" s="98"/>
      <c r="F18" s="99"/>
      <c r="G18" s="99"/>
      <c r="H18" s="100"/>
      <c r="I18" s="101"/>
      <c r="J18" s="101"/>
      <c r="K18" s="101"/>
    </row>
    <row r="19" spans="2:13" ht="21" hidden="1" customHeight="1" x14ac:dyDescent="0.25">
      <c r="E19" s="98"/>
      <c r="F19" s="99"/>
      <c r="G19" s="99"/>
      <c r="H19" s="100"/>
      <c r="I19" s="101"/>
      <c r="J19" s="101"/>
      <c r="K19" s="101"/>
    </row>
    <row r="20" spans="2:13" ht="21" hidden="1" customHeight="1" thickBot="1" x14ac:dyDescent="0.3">
      <c r="E20" s="102" t="s">
        <v>30</v>
      </c>
      <c r="F20" s="103"/>
      <c r="G20" s="103"/>
      <c r="H20" s="104"/>
      <c r="I20" s="105">
        <f>J16-I18-I19</f>
        <v>3571.7400000000002</v>
      </c>
      <c r="J20" s="105"/>
      <c r="K20" s="105"/>
    </row>
    <row r="21" spans="2:13" ht="21" hidden="1" customHeight="1" thickTop="1" x14ac:dyDescent="0.25"/>
    <row r="22" spans="2:13" ht="21" customHeight="1" thickBot="1" x14ac:dyDescent="0.3"/>
    <row r="23" spans="2:13" ht="51.75" customHeight="1" thickBot="1" x14ac:dyDescent="0.3">
      <c r="B23" s="15" t="s">
        <v>4</v>
      </c>
      <c r="C23" s="16" t="s">
        <v>0</v>
      </c>
      <c r="D23" s="17" t="s">
        <v>5</v>
      </c>
      <c r="E23" s="18" t="s">
        <v>6</v>
      </c>
      <c r="F23" s="19" t="s">
        <v>7</v>
      </c>
      <c r="G23" s="19" t="s">
        <v>8</v>
      </c>
      <c r="H23" s="20" t="s">
        <v>9</v>
      </c>
      <c r="I23" s="21" t="s">
        <v>10</v>
      </c>
      <c r="J23" s="22" t="s">
        <v>11</v>
      </c>
      <c r="K23" s="23" t="s">
        <v>13</v>
      </c>
      <c r="L23" s="23" t="s">
        <v>1</v>
      </c>
      <c r="M23" s="23" t="s">
        <v>53</v>
      </c>
    </row>
    <row r="24" spans="2:13" ht="21" customHeight="1" x14ac:dyDescent="0.25">
      <c r="B24" s="5">
        <v>1</v>
      </c>
      <c r="C24" s="6">
        <v>46008</v>
      </c>
      <c r="D24" s="7" t="s">
        <v>54</v>
      </c>
      <c r="E24" s="8">
        <v>19301</v>
      </c>
      <c r="F24" s="8">
        <v>130874</v>
      </c>
      <c r="G24" s="8" t="s">
        <v>55</v>
      </c>
      <c r="H24" s="9">
        <v>16.940000000000001</v>
      </c>
      <c r="I24" s="9">
        <v>47.7</v>
      </c>
      <c r="J24" s="9">
        <v>30.76</v>
      </c>
      <c r="K24" s="35">
        <v>0.48194444444444445</v>
      </c>
      <c r="L24" s="10" t="s">
        <v>39</v>
      </c>
      <c r="M24" s="10" t="s">
        <v>40</v>
      </c>
    </row>
    <row r="25" spans="2:13" ht="21" customHeight="1" x14ac:dyDescent="0.25">
      <c r="B25" s="5">
        <v>2</v>
      </c>
      <c r="C25" s="6">
        <v>46011</v>
      </c>
      <c r="D25" s="7" t="s">
        <v>56</v>
      </c>
      <c r="E25" s="8">
        <v>19524</v>
      </c>
      <c r="F25" s="8">
        <v>130874</v>
      </c>
      <c r="G25" s="8" t="s">
        <v>55</v>
      </c>
      <c r="H25" s="9">
        <v>16.940000000000001</v>
      </c>
      <c r="I25" s="9">
        <v>50.34</v>
      </c>
      <c r="J25" s="9">
        <v>33.400000000000006</v>
      </c>
      <c r="K25" s="35" t="s">
        <v>57</v>
      </c>
      <c r="L25" s="10" t="s">
        <v>39</v>
      </c>
      <c r="M25" s="10" t="s">
        <v>40</v>
      </c>
    </row>
    <row r="26" spans="2:13" ht="21" customHeight="1" x14ac:dyDescent="0.25">
      <c r="B26" s="5">
        <v>3</v>
      </c>
      <c r="C26" s="6">
        <v>46012</v>
      </c>
      <c r="D26" s="7" t="s">
        <v>58</v>
      </c>
      <c r="E26" s="8">
        <v>286</v>
      </c>
      <c r="F26" s="8">
        <v>130874</v>
      </c>
      <c r="G26" s="8" t="s">
        <v>55</v>
      </c>
      <c r="H26" s="9">
        <v>16.940000000000001</v>
      </c>
      <c r="I26" s="9">
        <v>51.48</v>
      </c>
      <c r="J26" s="9">
        <v>34.539999999999992</v>
      </c>
      <c r="K26" s="35">
        <v>0.76041666666666663</v>
      </c>
      <c r="L26" s="10" t="s">
        <v>39</v>
      </c>
      <c r="M26" s="10" t="s">
        <v>40</v>
      </c>
    </row>
    <row r="27" spans="2:13" ht="21" customHeight="1" x14ac:dyDescent="0.25">
      <c r="B27" s="5">
        <v>4</v>
      </c>
      <c r="C27" s="6">
        <v>46012</v>
      </c>
      <c r="D27" s="7" t="s">
        <v>59</v>
      </c>
      <c r="E27" s="8">
        <v>19601</v>
      </c>
      <c r="F27" s="8">
        <v>130874</v>
      </c>
      <c r="G27" s="8" t="s">
        <v>55</v>
      </c>
      <c r="H27" s="9">
        <v>16.940000000000001</v>
      </c>
      <c r="I27" s="9">
        <v>53.9</v>
      </c>
      <c r="J27" s="9">
        <v>36.959999999999994</v>
      </c>
      <c r="K27" s="35">
        <v>4.791666666666667E-2</v>
      </c>
      <c r="L27" s="10" t="s">
        <v>39</v>
      </c>
      <c r="M27" s="10" t="s">
        <v>40</v>
      </c>
    </row>
    <row r="28" spans="2:13" ht="21" customHeight="1" x14ac:dyDescent="0.25">
      <c r="B28" s="5">
        <v>5</v>
      </c>
      <c r="C28" s="6">
        <v>46013</v>
      </c>
      <c r="D28" s="7" t="s">
        <v>60</v>
      </c>
      <c r="E28" s="8">
        <v>340</v>
      </c>
      <c r="F28" s="8">
        <v>130874</v>
      </c>
      <c r="G28" s="8" t="s">
        <v>55</v>
      </c>
      <c r="H28" s="9">
        <v>16.940000000000001</v>
      </c>
      <c r="I28" s="9">
        <v>49.92</v>
      </c>
      <c r="J28" s="9">
        <v>32.980000000000004</v>
      </c>
      <c r="K28" s="35">
        <v>0.13125000000000001</v>
      </c>
      <c r="L28" s="10" t="s">
        <v>39</v>
      </c>
      <c r="M28" s="10" t="s">
        <v>40</v>
      </c>
    </row>
    <row r="29" spans="2:13" ht="21" customHeight="1" x14ac:dyDescent="0.25">
      <c r="B29" s="5">
        <v>6</v>
      </c>
      <c r="C29" s="6">
        <v>46013</v>
      </c>
      <c r="D29" s="7" t="s">
        <v>61</v>
      </c>
      <c r="E29" s="8">
        <v>423</v>
      </c>
      <c r="F29" s="8">
        <v>130874</v>
      </c>
      <c r="G29" s="8" t="s">
        <v>55</v>
      </c>
      <c r="H29" s="9">
        <v>16.940000000000001</v>
      </c>
      <c r="I29" s="9">
        <v>52.04</v>
      </c>
      <c r="J29" s="9">
        <v>35.099999999999994</v>
      </c>
      <c r="K29" s="35">
        <v>0.59652777777777777</v>
      </c>
      <c r="L29" s="10" t="s">
        <v>39</v>
      </c>
      <c r="M29" s="10" t="s">
        <v>40</v>
      </c>
    </row>
    <row r="30" spans="2:13" ht="21" customHeight="1" x14ac:dyDescent="0.25">
      <c r="B30" s="5">
        <v>7</v>
      </c>
      <c r="C30" s="6">
        <v>46013</v>
      </c>
      <c r="D30" s="7" t="s">
        <v>62</v>
      </c>
      <c r="E30" s="8">
        <v>442</v>
      </c>
      <c r="F30" s="8">
        <v>130874</v>
      </c>
      <c r="G30" s="8" t="s">
        <v>55</v>
      </c>
      <c r="H30" s="9">
        <v>16.940000000000001</v>
      </c>
      <c r="I30" s="9">
        <v>50.74</v>
      </c>
      <c r="J30" s="9">
        <v>33.799999999999997</v>
      </c>
      <c r="K30" s="35">
        <v>0.68888888888888888</v>
      </c>
      <c r="L30" s="10" t="s">
        <v>39</v>
      </c>
      <c r="M30" s="10" t="s">
        <v>40</v>
      </c>
    </row>
    <row r="31" spans="2:13" ht="21" customHeight="1" x14ac:dyDescent="0.25">
      <c r="B31" s="5">
        <v>8</v>
      </c>
      <c r="C31" s="6">
        <v>46014</v>
      </c>
      <c r="D31" s="7" t="s">
        <v>63</v>
      </c>
      <c r="E31" s="8">
        <v>480</v>
      </c>
      <c r="F31" s="8">
        <v>130874</v>
      </c>
      <c r="G31" s="8" t="s">
        <v>55</v>
      </c>
      <c r="H31" s="9">
        <v>16.940000000000001</v>
      </c>
      <c r="I31" s="9">
        <v>46.32</v>
      </c>
      <c r="J31" s="9">
        <v>29.38</v>
      </c>
      <c r="K31" s="35">
        <v>0.33541666666666664</v>
      </c>
      <c r="L31" s="10" t="s">
        <v>39</v>
      </c>
      <c r="M31" s="10" t="s">
        <v>40</v>
      </c>
    </row>
    <row r="32" spans="2:13" ht="21" customHeight="1" x14ac:dyDescent="0.25">
      <c r="B32" s="5">
        <v>9</v>
      </c>
      <c r="C32" s="6">
        <v>46014</v>
      </c>
      <c r="D32" s="7" t="s">
        <v>64</v>
      </c>
      <c r="E32" s="8">
        <v>501</v>
      </c>
      <c r="F32" s="8">
        <v>130874</v>
      </c>
      <c r="G32" s="8" t="s">
        <v>55</v>
      </c>
      <c r="H32" s="9">
        <v>16.940000000000001</v>
      </c>
      <c r="I32" s="9">
        <v>46.68</v>
      </c>
      <c r="J32" s="9">
        <v>29.74</v>
      </c>
      <c r="K32" s="35">
        <v>0.63749999999999996</v>
      </c>
      <c r="L32" s="10" t="s">
        <v>39</v>
      </c>
      <c r="M32" s="10" t="s">
        <v>40</v>
      </c>
    </row>
    <row r="33" spans="2:13" ht="21" customHeight="1" x14ac:dyDescent="0.25">
      <c r="B33" s="5">
        <v>10</v>
      </c>
      <c r="C33" s="6">
        <v>46015</v>
      </c>
      <c r="D33" s="7" t="s">
        <v>65</v>
      </c>
      <c r="E33" s="8">
        <v>513</v>
      </c>
      <c r="F33" s="8">
        <v>130874</v>
      </c>
      <c r="G33" s="8" t="s">
        <v>55</v>
      </c>
      <c r="H33" s="9">
        <v>16.940000000000001</v>
      </c>
      <c r="I33" s="9">
        <v>49.74</v>
      </c>
      <c r="J33" s="9">
        <v>32.799999999999997</v>
      </c>
      <c r="K33" s="35">
        <v>0.32708333333333334</v>
      </c>
      <c r="L33" s="10" t="s">
        <v>39</v>
      </c>
      <c r="M33" s="10" t="s">
        <v>40</v>
      </c>
    </row>
    <row r="34" spans="2:13" ht="21" customHeight="1" x14ac:dyDescent="0.25">
      <c r="B34" s="5">
        <v>11</v>
      </c>
      <c r="C34" s="6">
        <v>46016</v>
      </c>
      <c r="D34" s="7" t="s">
        <v>66</v>
      </c>
      <c r="E34" s="8">
        <v>531</v>
      </c>
      <c r="F34" s="8">
        <v>130874</v>
      </c>
      <c r="G34" s="8" t="s">
        <v>55</v>
      </c>
      <c r="H34" s="9">
        <v>16.940000000000001</v>
      </c>
      <c r="I34" s="9">
        <v>50.42</v>
      </c>
      <c r="J34" s="9">
        <v>33.480000000000004</v>
      </c>
      <c r="K34" s="35">
        <v>0.33055555555555555</v>
      </c>
      <c r="L34" s="10" t="s">
        <v>39</v>
      </c>
      <c r="M34" s="10" t="s">
        <v>40</v>
      </c>
    </row>
    <row r="35" spans="2:13" ht="21" customHeight="1" x14ac:dyDescent="0.25">
      <c r="B35" s="5">
        <v>12</v>
      </c>
      <c r="C35" s="6">
        <v>46018</v>
      </c>
      <c r="D35" s="7" t="s">
        <v>67</v>
      </c>
      <c r="E35" s="8">
        <v>548</v>
      </c>
      <c r="F35" s="8">
        <v>130874</v>
      </c>
      <c r="G35" s="8" t="s">
        <v>55</v>
      </c>
      <c r="H35" s="9">
        <v>16.940000000000001</v>
      </c>
      <c r="I35" s="9">
        <v>50.86</v>
      </c>
      <c r="J35" s="9">
        <v>33.92</v>
      </c>
      <c r="K35" s="35">
        <v>0.37916666666666665</v>
      </c>
      <c r="L35" s="10" t="s">
        <v>39</v>
      </c>
      <c r="M35" s="10" t="s">
        <v>40</v>
      </c>
    </row>
    <row r="36" spans="2:13" ht="21" customHeight="1" x14ac:dyDescent="0.3">
      <c r="J36" s="4">
        <f>SUM(J24:J35)</f>
        <v>396.86</v>
      </c>
      <c r="K36" s="12">
        <v>9</v>
      </c>
    </row>
    <row r="37" spans="2:13" ht="21" customHeight="1" thickBot="1" x14ac:dyDescent="0.35">
      <c r="J37" s="1"/>
      <c r="K37" s="14">
        <f>J36*K36</f>
        <v>3571.7400000000002</v>
      </c>
    </row>
    <row r="38" spans="2:13" ht="21" customHeight="1" thickTop="1" x14ac:dyDescent="0.25"/>
    <row r="41" spans="2:13" ht="41.25" hidden="1" customHeight="1" thickBot="1" x14ac:dyDescent="0.3">
      <c r="B41" s="24" t="s">
        <v>4</v>
      </c>
      <c r="C41" s="25" t="s">
        <v>0</v>
      </c>
      <c r="D41" s="26" t="s">
        <v>5</v>
      </c>
      <c r="E41" s="27" t="s">
        <v>6</v>
      </c>
      <c r="F41" s="24" t="s">
        <v>7</v>
      </c>
      <c r="G41" s="24" t="s">
        <v>8</v>
      </c>
      <c r="H41" s="28" t="s">
        <v>9</v>
      </c>
      <c r="I41" s="29" t="s">
        <v>10</v>
      </c>
      <c r="J41" s="30" t="s">
        <v>11</v>
      </c>
      <c r="K41" s="30" t="s">
        <v>1</v>
      </c>
    </row>
    <row r="42" spans="2:13" ht="21" hidden="1" customHeight="1" x14ac:dyDescent="0.25">
      <c r="B42" s="3"/>
      <c r="C42" s="53"/>
      <c r="D42" s="54"/>
      <c r="E42" s="10"/>
      <c r="F42" s="10"/>
      <c r="G42" s="10"/>
      <c r="H42" s="9"/>
      <c r="I42" s="9"/>
      <c r="J42" s="36"/>
      <c r="K42" s="2"/>
    </row>
    <row r="43" spans="2:13" ht="21" hidden="1" customHeight="1" x14ac:dyDescent="0.3">
      <c r="J43" s="4">
        <f>SUM(J42:J42)</f>
        <v>0</v>
      </c>
      <c r="K43" s="12">
        <v>11</v>
      </c>
    </row>
    <row r="44" spans="2:13" ht="21" hidden="1" customHeight="1" thickBot="1" x14ac:dyDescent="0.35">
      <c r="J44" s="1"/>
      <c r="K44" s="14">
        <f>J43*K43</f>
        <v>0</v>
      </c>
    </row>
  </sheetData>
  <mergeCells count="31">
    <mergeCell ref="E18:H18"/>
    <mergeCell ref="I18:K18"/>
    <mergeCell ref="E19:H19"/>
    <mergeCell ref="I19:K19"/>
    <mergeCell ref="E20:H20"/>
    <mergeCell ref="I20:K20"/>
    <mergeCell ref="E14:G14"/>
    <mergeCell ref="J14:K14"/>
    <mergeCell ref="E15:G15"/>
    <mergeCell ref="J15:K15"/>
    <mergeCell ref="E16:G16"/>
    <mergeCell ref="H16:I16"/>
    <mergeCell ref="J16:K16"/>
    <mergeCell ref="E11:G11"/>
    <mergeCell ref="J11:K11"/>
    <mergeCell ref="E12:G12"/>
    <mergeCell ref="J12:K12"/>
    <mergeCell ref="E13:G13"/>
    <mergeCell ref="J13:K13"/>
    <mergeCell ref="B7:D7"/>
    <mergeCell ref="E7:G7"/>
    <mergeCell ref="J7:K7"/>
    <mergeCell ref="B8:D8"/>
    <mergeCell ref="E8:G8"/>
    <mergeCell ref="J8:K8"/>
    <mergeCell ref="B3:E3"/>
    <mergeCell ref="F3:H3"/>
    <mergeCell ref="I3:K3"/>
    <mergeCell ref="B4:E4"/>
    <mergeCell ref="F4:H4"/>
    <mergeCell ref="I4:K4"/>
  </mergeCells>
  <conditionalFormatting sqref="F3">
    <cfRule type="duplicateValues" dxfId="47" priority="23"/>
  </conditionalFormatting>
  <conditionalFormatting sqref="I3:I4">
    <cfRule type="duplicateValues" dxfId="46" priority="24"/>
  </conditionalFormatting>
  <conditionalFormatting sqref="E13:E15">
    <cfRule type="duplicateValues" dxfId="45" priority="22"/>
  </conditionalFormatting>
  <conditionalFormatting sqref="D41:E41">
    <cfRule type="duplicateValues" dxfId="44" priority="20"/>
  </conditionalFormatting>
  <conditionalFormatting sqref="D41:E41">
    <cfRule type="duplicateValues" dxfId="43" priority="21"/>
  </conditionalFormatting>
  <conditionalFormatting sqref="D42">
    <cfRule type="duplicateValues" dxfId="42" priority="6"/>
    <cfRule type="duplicateValues" dxfId="41" priority="7"/>
    <cfRule type="duplicateValues" dxfId="40" priority="8"/>
    <cfRule type="duplicateValues" dxfId="39" priority="9"/>
    <cfRule type="duplicateValues" dxfId="38" priority="10"/>
  </conditionalFormatting>
  <conditionalFormatting sqref="D42:E42">
    <cfRule type="duplicateValues" dxfId="37" priority="11"/>
    <cfRule type="duplicateValues" dxfId="36" priority="12"/>
    <cfRule type="duplicateValues" dxfId="35" priority="13"/>
  </conditionalFormatting>
  <conditionalFormatting sqref="D42:E42">
    <cfRule type="duplicateValues" dxfId="34" priority="14"/>
  </conditionalFormatting>
  <conditionalFormatting sqref="E42">
    <cfRule type="duplicateValues" dxfId="33" priority="15"/>
    <cfRule type="duplicateValues" dxfId="32" priority="16"/>
    <cfRule type="duplicateValues" dxfId="31" priority="17"/>
  </conditionalFormatting>
  <conditionalFormatting sqref="D23">
    <cfRule type="duplicateValues" dxfId="30" priority="3"/>
  </conditionalFormatting>
  <conditionalFormatting sqref="D23">
    <cfRule type="duplicateValues" dxfId="29" priority="5"/>
  </conditionalFormatting>
  <conditionalFormatting sqref="E23">
    <cfRule type="duplicateValues" dxfId="28" priority="2"/>
  </conditionalFormatting>
  <conditionalFormatting sqref="E23">
    <cfRule type="duplicateValues" dxfId="27" priority="4"/>
  </conditionalFormatting>
  <conditionalFormatting sqref="D24:D35">
    <cfRule type="duplicateValues" dxfId="26" priority="89"/>
  </conditionalFormatting>
  <conditionalFormatting sqref="E24:E35">
    <cfRule type="duplicateValues" dxfId="25" priority="90"/>
  </conditionalFormatting>
  <conditionalFormatting sqref="E12">
    <cfRule type="duplicateValues" dxfId="24" priority="1"/>
  </conditionalFormatting>
  <pageMargins left="0.7" right="0.7" top="0.75" bottom="0.75" header="0.3" footer="0.3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E29E-46BD-447F-A612-3D347E6B1DDF}">
  <sheetPr>
    <pageSetUpPr fitToPage="1"/>
  </sheetPr>
  <dimension ref="B2:M51"/>
  <sheetViews>
    <sheetView topLeftCell="A28" workbookViewId="0">
      <selection activeCell="M46" sqref="M46"/>
    </sheetView>
  </sheetViews>
  <sheetFormatPr defaultRowHeight="21" customHeight="1" x14ac:dyDescent="0.25"/>
  <cols>
    <col min="2" max="2" width="6.42578125" bestFit="1" customWidth="1"/>
    <col min="3" max="3" width="14.42578125" bestFit="1" customWidth="1"/>
    <col min="4" max="4" width="9.140625" bestFit="1" customWidth="1"/>
    <col min="5" max="5" width="9.85546875" bestFit="1" customWidth="1"/>
    <col min="6" max="6" width="11.5703125" bestFit="1" customWidth="1"/>
    <col min="7" max="7" width="14.85546875" customWidth="1"/>
    <col min="8" max="8" width="10.28515625" bestFit="1" customWidth="1"/>
    <col min="9" max="9" width="11.5703125" customWidth="1"/>
    <col min="10" max="10" width="12" bestFit="1" customWidth="1"/>
    <col min="11" max="11" width="19.85546875" bestFit="1" customWidth="1"/>
    <col min="12" max="12" width="30.5703125" customWidth="1"/>
    <col min="13" max="13" width="14.28515625" bestFit="1" customWidth="1"/>
  </cols>
  <sheetData>
    <row r="2" spans="2:12" ht="21" customHeight="1" thickBot="1" x14ac:dyDescent="0.3"/>
    <row r="3" spans="2:12" ht="21" customHeight="1" thickBot="1" x14ac:dyDescent="0.3">
      <c r="B3" s="70" t="s">
        <v>18</v>
      </c>
      <c r="C3" s="71"/>
      <c r="D3" s="71"/>
      <c r="E3" s="72"/>
      <c r="F3" s="73" t="s">
        <v>19</v>
      </c>
      <c r="G3" s="74"/>
      <c r="H3" s="75"/>
      <c r="I3" s="73" t="s">
        <v>20</v>
      </c>
      <c r="J3" s="74"/>
      <c r="K3" s="75"/>
      <c r="L3" s="59" t="s">
        <v>25</v>
      </c>
    </row>
    <row r="4" spans="2:12" ht="63" customHeight="1" x14ac:dyDescent="0.25">
      <c r="B4" s="76" t="s">
        <v>17</v>
      </c>
      <c r="C4" s="77"/>
      <c r="D4" s="77"/>
      <c r="E4" s="78"/>
      <c r="F4" s="79">
        <v>289234</v>
      </c>
      <c r="G4" s="80"/>
      <c r="H4" s="81"/>
      <c r="I4" s="82"/>
      <c r="J4" s="83"/>
      <c r="K4" s="84"/>
      <c r="L4" s="13" t="s">
        <v>31</v>
      </c>
    </row>
    <row r="7" spans="2:12" ht="21" customHeight="1" x14ac:dyDescent="0.25">
      <c r="B7" s="85" t="s">
        <v>12</v>
      </c>
      <c r="C7" s="85"/>
      <c r="D7" s="85"/>
      <c r="E7" s="86"/>
      <c r="F7" s="87"/>
      <c r="G7" s="88"/>
      <c r="J7" s="89" t="s">
        <v>21</v>
      </c>
      <c r="K7" s="89"/>
      <c r="L7" s="11">
        <v>45992</v>
      </c>
    </row>
    <row r="8" spans="2:12" ht="21" customHeight="1" x14ac:dyDescent="0.25">
      <c r="B8" s="85" t="s">
        <v>22</v>
      </c>
      <c r="C8" s="85"/>
      <c r="D8" s="85"/>
      <c r="E8" s="86"/>
      <c r="F8" s="87"/>
      <c r="G8" s="88"/>
      <c r="J8" s="85" t="s">
        <v>23</v>
      </c>
      <c r="K8" s="85"/>
      <c r="L8" s="11">
        <v>46022</v>
      </c>
    </row>
    <row r="11" spans="2:12" ht="21" customHeight="1" x14ac:dyDescent="0.25">
      <c r="E11" s="63" t="s">
        <v>26</v>
      </c>
      <c r="F11" s="90"/>
      <c r="G11" s="64"/>
      <c r="H11" s="58" t="s">
        <v>15</v>
      </c>
      <c r="I11" s="55" t="s">
        <v>27</v>
      </c>
      <c r="J11" s="69" t="s">
        <v>24</v>
      </c>
      <c r="K11" s="69"/>
    </row>
    <row r="12" spans="2:12" ht="21" customHeight="1" x14ac:dyDescent="0.25">
      <c r="E12" s="91" t="s">
        <v>39</v>
      </c>
      <c r="F12" s="92"/>
      <c r="G12" s="93"/>
      <c r="H12" s="31">
        <v>9</v>
      </c>
      <c r="I12" s="32">
        <f>J43</f>
        <v>706.2</v>
      </c>
      <c r="J12" s="94">
        <f>H12*I12</f>
        <v>6355.8</v>
      </c>
      <c r="K12" s="94"/>
    </row>
    <row r="13" spans="2:12" ht="21" hidden="1" customHeight="1" x14ac:dyDescent="0.25">
      <c r="E13" s="91" t="s">
        <v>3</v>
      </c>
      <c r="F13" s="92"/>
      <c r="G13" s="93"/>
      <c r="H13" s="31">
        <v>11</v>
      </c>
      <c r="I13" s="32">
        <f>J50</f>
        <v>0</v>
      </c>
      <c r="J13" s="94">
        <f>H13*I13</f>
        <v>0</v>
      </c>
      <c r="K13" s="94"/>
    </row>
    <row r="14" spans="2:12" ht="21" hidden="1" customHeight="1" x14ac:dyDescent="0.25">
      <c r="E14" s="91" t="s">
        <v>28</v>
      </c>
      <c r="F14" s="92"/>
      <c r="G14" s="93"/>
      <c r="H14" s="31">
        <v>50</v>
      </c>
      <c r="I14" s="33">
        <v>0</v>
      </c>
      <c r="J14" s="94">
        <f t="shared" ref="J14:J15" si="0">H14*I14</f>
        <v>0</v>
      </c>
      <c r="K14" s="94"/>
    </row>
    <row r="15" spans="2:12" ht="21" hidden="1" customHeight="1" x14ac:dyDescent="0.25">
      <c r="E15" s="91" t="s">
        <v>29</v>
      </c>
      <c r="F15" s="92"/>
      <c r="G15" s="93"/>
      <c r="H15" s="31">
        <v>50</v>
      </c>
      <c r="I15" s="33">
        <v>0</v>
      </c>
      <c r="J15" s="94">
        <f t="shared" si="0"/>
        <v>0</v>
      </c>
      <c r="K15" s="94"/>
    </row>
    <row r="16" spans="2:12" ht="21" customHeight="1" thickBot="1" x14ac:dyDescent="0.3">
      <c r="E16" s="95"/>
      <c r="F16" s="95"/>
      <c r="G16" s="95"/>
      <c r="H16" s="60" t="s">
        <v>16</v>
      </c>
      <c r="I16" s="60"/>
      <c r="J16" s="96">
        <f>SUM(J12:K15)</f>
        <v>6355.8</v>
      </c>
      <c r="K16" s="97"/>
    </row>
    <row r="17" spans="2:13" ht="21" customHeight="1" thickTop="1" x14ac:dyDescent="0.25">
      <c r="E17" s="34"/>
      <c r="F17" s="34"/>
      <c r="G17" s="34"/>
      <c r="H17" s="34"/>
      <c r="I17" s="34"/>
      <c r="J17" s="34"/>
      <c r="K17" s="34"/>
    </row>
    <row r="18" spans="2:13" ht="21" hidden="1" customHeight="1" x14ac:dyDescent="0.25">
      <c r="E18" s="98"/>
      <c r="F18" s="99"/>
      <c r="G18" s="99"/>
      <c r="H18" s="100"/>
      <c r="I18" s="101"/>
      <c r="J18" s="101"/>
      <c r="K18" s="101"/>
    </row>
    <row r="19" spans="2:13" ht="21" hidden="1" customHeight="1" x14ac:dyDescent="0.25">
      <c r="E19" s="98"/>
      <c r="F19" s="99"/>
      <c r="G19" s="99"/>
      <c r="H19" s="100"/>
      <c r="I19" s="101"/>
      <c r="J19" s="101"/>
      <c r="K19" s="101"/>
    </row>
    <row r="20" spans="2:13" ht="21" hidden="1" customHeight="1" thickBot="1" x14ac:dyDescent="0.3">
      <c r="E20" s="102" t="s">
        <v>30</v>
      </c>
      <c r="F20" s="103"/>
      <c r="G20" s="103"/>
      <c r="H20" s="104"/>
      <c r="I20" s="105">
        <f>J16-I18-I19</f>
        <v>6355.8</v>
      </c>
      <c r="J20" s="105"/>
      <c r="K20" s="105"/>
    </row>
    <row r="21" spans="2:13" ht="21" hidden="1" customHeight="1" thickTop="1" x14ac:dyDescent="0.25"/>
    <row r="22" spans="2:13" ht="21" customHeight="1" thickBot="1" x14ac:dyDescent="0.3"/>
    <row r="23" spans="2:13" ht="51.75" customHeight="1" thickBot="1" x14ac:dyDescent="0.3">
      <c r="B23" s="15" t="s">
        <v>4</v>
      </c>
      <c r="C23" s="16" t="s">
        <v>0</v>
      </c>
      <c r="D23" s="17" t="s">
        <v>5</v>
      </c>
      <c r="E23" s="18" t="s">
        <v>6</v>
      </c>
      <c r="F23" s="19" t="s">
        <v>7</v>
      </c>
      <c r="G23" s="19" t="s">
        <v>8</v>
      </c>
      <c r="H23" s="20" t="s">
        <v>9</v>
      </c>
      <c r="I23" s="21" t="s">
        <v>10</v>
      </c>
      <c r="J23" s="22" t="s">
        <v>11</v>
      </c>
      <c r="K23" s="23" t="s">
        <v>13</v>
      </c>
      <c r="L23" s="23" t="s">
        <v>1</v>
      </c>
      <c r="M23" s="23" t="s">
        <v>53</v>
      </c>
    </row>
    <row r="24" spans="2:13" ht="21" customHeight="1" x14ac:dyDescent="0.25">
      <c r="B24" s="5">
        <v>1</v>
      </c>
      <c r="C24" s="6">
        <v>46008</v>
      </c>
      <c r="D24" s="7" t="s">
        <v>68</v>
      </c>
      <c r="E24" s="8">
        <v>19281</v>
      </c>
      <c r="F24" s="8">
        <v>289234</v>
      </c>
      <c r="G24" s="8" t="s">
        <v>2</v>
      </c>
      <c r="H24" s="9">
        <v>18.16</v>
      </c>
      <c r="I24" s="9">
        <v>54.54</v>
      </c>
      <c r="J24" s="9">
        <v>36.379999999999995</v>
      </c>
      <c r="K24" s="35">
        <v>0.34166666666666667</v>
      </c>
      <c r="L24" s="10" t="s">
        <v>39</v>
      </c>
      <c r="M24" s="10" t="s">
        <v>40</v>
      </c>
    </row>
    <row r="25" spans="2:13" ht="21" customHeight="1" x14ac:dyDescent="0.25">
      <c r="B25" s="5">
        <v>2</v>
      </c>
      <c r="C25" s="6">
        <v>46008</v>
      </c>
      <c r="D25" s="7" t="s">
        <v>69</v>
      </c>
      <c r="E25" s="8">
        <v>19348</v>
      </c>
      <c r="F25" s="8">
        <v>289234</v>
      </c>
      <c r="G25" s="8" t="s">
        <v>2</v>
      </c>
      <c r="H25" s="9">
        <v>18.16</v>
      </c>
      <c r="I25" s="9">
        <v>56</v>
      </c>
      <c r="J25" s="9">
        <v>37.840000000000003</v>
      </c>
      <c r="K25" s="35">
        <v>0.8930555555555556</v>
      </c>
      <c r="L25" s="10" t="s">
        <v>39</v>
      </c>
      <c r="M25" s="10" t="s">
        <v>40</v>
      </c>
    </row>
    <row r="26" spans="2:13" ht="21" customHeight="1" x14ac:dyDescent="0.25">
      <c r="B26" s="5">
        <v>3</v>
      </c>
      <c r="C26" s="6">
        <v>46011</v>
      </c>
      <c r="D26" s="7" t="s">
        <v>70</v>
      </c>
      <c r="E26" s="8">
        <v>19503</v>
      </c>
      <c r="F26" s="8">
        <v>289234</v>
      </c>
      <c r="G26" s="8" t="s">
        <v>2</v>
      </c>
      <c r="H26" s="9">
        <v>18.16</v>
      </c>
      <c r="I26" s="9">
        <v>57.74</v>
      </c>
      <c r="J26" s="9">
        <v>39.58</v>
      </c>
      <c r="K26" s="35">
        <v>0.37777777777777777</v>
      </c>
      <c r="L26" s="10" t="s">
        <v>39</v>
      </c>
      <c r="M26" s="10" t="s">
        <v>40</v>
      </c>
    </row>
    <row r="27" spans="2:13" ht="21" customHeight="1" x14ac:dyDescent="0.25">
      <c r="B27" s="5">
        <v>4</v>
      </c>
      <c r="C27" s="6">
        <v>46011</v>
      </c>
      <c r="D27" s="7" t="s">
        <v>71</v>
      </c>
      <c r="E27" s="8">
        <v>19572</v>
      </c>
      <c r="F27" s="8">
        <v>289234</v>
      </c>
      <c r="G27" s="8" t="s">
        <v>2</v>
      </c>
      <c r="H27" s="9">
        <v>18.16</v>
      </c>
      <c r="I27" s="9">
        <v>59.68</v>
      </c>
      <c r="J27" s="9">
        <v>41.519999999999996</v>
      </c>
      <c r="K27" s="35">
        <v>0.83333333333333337</v>
      </c>
      <c r="L27" s="10" t="s">
        <v>39</v>
      </c>
      <c r="M27" s="10" t="s">
        <v>40</v>
      </c>
    </row>
    <row r="28" spans="2:13" ht="21" customHeight="1" x14ac:dyDescent="0.25">
      <c r="B28" s="5">
        <v>5</v>
      </c>
      <c r="C28" s="6">
        <v>46012</v>
      </c>
      <c r="D28" s="7" t="s">
        <v>72</v>
      </c>
      <c r="E28" s="8">
        <v>263</v>
      </c>
      <c r="F28" s="8">
        <v>289234</v>
      </c>
      <c r="G28" s="8" t="s">
        <v>2</v>
      </c>
      <c r="H28" s="9">
        <v>18.16</v>
      </c>
      <c r="I28" s="9">
        <v>55.36</v>
      </c>
      <c r="J28" s="9">
        <v>37.200000000000003</v>
      </c>
      <c r="K28" s="35">
        <v>0.59305555555555556</v>
      </c>
      <c r="L28" s="10" t="s">
        <v>39</v>
      </c>
      <c r="M28" s="10" t="s">
        <v>40</v>
      </c>
    </row>
    <row r="29" spans="2:13" ht="21" customHeight="1" x14ac:dyDescent="0.25">
      <c r="B29" s="5">
        <v>6</v>
      </c>
      <c r="C29" s="6">
        <v>46012</v>
      </c>
      <c r="D29" s="7">
        <v>9529</v>
      </c>
      <c r="E29" s="8">
        <v>19609</v>
      </c>
      <c r="F29" s="8">
        <v>289234</v>
      </c>
      <c r="G29" s="8" t="s">
        <v>2</v>
      </c>
      <c r="H29" s="9">
        <v>18.16</v>
      </c>
      <c r="I29" s="9">
        <v>57.96</v>
      </c>
      <c r="J29" s="9">
        <v>39.799999999999997</v>
      </c>
      <c r="K29" s="35">
        <v>0.12083333333333333</v>
      </c>
      <c r="L29" s="10" t="s">
        <v>39</v>
      </c>
      <c r="M29" s="10" t="s">
        <v>40</v>
      </c>
    </row>
    <row r="30" spans="2:13" ht="21" customHeight="1" x14ac:dyDescent="0.25">
      <c r="B30" s="5">
        <v>7</v>
      </c>
      <c r="C30" s="6">
        <v>46013</v>
      </c>
      <c r="D30" s="7" t="s">
        <v>73</v>
      </c>
      <c r="E30" s="8">
        <v>329</v>
      </c>
      <c r="F30" s="8">
        <v>289234</v>
      </c>
      <c r="G30" s="8" t="s">
        <v>2</v>
      </c>
      <c r="H30" s="9">
        <v>18.16</v>
      </c>
      <c r="I30" s="9">
        <v>57.68</v>
      </c>
      <c r="J30" s="9">
        <v>39.519999999999996</v>
      </c>
      <c r="K30" s="35">
        <v>6.3194444444444442E-2</v>
      </c>
      <c r="L30" s="10" t="s">
        <v>39</v>
      </c>
      <c r="M30" s="10" t="s">
        <v>40</v>
      </c>
    </row>
    <row r="31" spans="2:13" ht="21" customHeight="1" x14ac:dyDescent="0.25">
      <c r="B31" s="5">
        <v>8</v>
      </c>
      <c r="C31" s="6">
        <v>46013</v>
      </c>
      <c r="D31" s="7" t="s">
        <v>74</v>
      </c>
      <c r="E31" s="8">
        <v>419</v>
      </c>
      <c r="F31" s="8">
        <v>289234</v>
      </c>
      <c r="G31" s="8" t="s">
        <v>2</v>
      </c>
      <c r="H31" s="9">
        <v>18.16</v>
      </c>
      <c r="I31" s="9">
        <v>57.2</v>
      </c>
      <c r="J31" s="9">
        <v>39.040000000000006</v>
      </c>
      <c r="K31" s="35">
        <v>0.58958333333333335</v>
      </c>
      <c r="L31" s="10" t="s">
        <v>39</v>
      </c>
      <c r="M31" s="10" t="s">
        <v>40</v>
      </c>
    </row>
    <row r="32" spans="2:13" ht="21" customHeight="1" x14ac:dyDescent="0.25">
      <c r="B32" s="5">
        <v>9</v>
      </c>
      <c r="C32" s="6">
        <v>46014</v>
      </c>
      <c r="D32" s="7" t="s">
        <v>75</v>
      </c>
      <c r="E32" s="8">
        <v>466</v>
      </c>
      <c r="F32" s="8">
        <v>289234</v>
      </c>
      <c r="G32" s="8" t="s">
        <v>2</v>
      </c>
      <c r="H32" s="9">
        <v>18.16</v>
      </c>
      <c r="I32" s="9">
        <v>61.24</v>
      </c>
      <c r="J32" s="9">
        <v>43.08</v>
      </c>
      <c r="K32" s="35">
        <v>1.1111111111111112E-2</v>
      </c>
      <c r="L32" s="10" t="s">
        <v>39</v>
      </c>
      <c r="M32" s="10" t="s">
        <v>40</v>
      </c>
    </row>
    <row r="33" spans="2:13" ht="21" customHeight="1" x14ac:dyDescent="0.25">
      <c r="B33" s="5">
        <v>10</v>
      </c>
      <c r="C33" s="6">
        <v>46014</v>
      </c>
      <c r="D33" s="7" t="s">
        <v>76</v>
      </c>
      <c r="E33" s="8">
        <v>485</v>
      </c>
      <c r="F33" s="8">
        <v>289234</v>
      </c>
      <c r="G33" s="8" t="s">
        <v>2</v>
      </c>
      <c r="H33" s="9">
        <v>18.16</v>
      </c>
      <c r="I33" s="9">
        <v>57.5</v>
      </c>
      <c r="J33" s="9">
        <v>39.340000000000003</v>
      </c>
      <c r="K33" s="35">
        <v>0.44513888888888886</v>
      </c>
      <c r="L33" s="10" t="s">
        <v>39</v>
      </c>
      <c r="M33" s="10" t="s">
        <v>40</v>
      </c>
    </row>
    <row r="34" spans="2:13" ht="21" customHeight="1" x14ac:dyDescent="0.25">
      <c r="B34" s="5">
        <v>11</v>
      </c>
      <c r="C34" s="6">
        <v>46014</v>
      </c>
      <c r="D34" s="7" t="s">
        <v>77</v>
      </c>
      <c r="E34" s="8">
        <v>506</v>
      </c>
      <c r="F34" s="8">
        <v>289234</v>
      </c>
      <c r="G34" s="8" t="s">
        <v>2</v>
      </c>
      <c r="H34" s="9">
        <v>18.16</v>
      </c>
      <c r="I34" s="9">
        <v>49.22</v>
      </c>
      <c r="J34" s="9">
        <v>31.06</v>
      </c>
      <c r="K34" s="35">
        <v>0.70416666666666672</v>
      </c>
      <c r="L34" s="10" t="s">
        <v>39</v>
      </c>
      <c r="M34" s="10" t="s">
        <v>40</v>
      </c>
    </row>
    <row r="35" spans="2:13" ht="21" customHeight="1" x14ac:dyDescent="0.25">
      <c r="B35" s="5">
        <v>12</v>
      </c>
      <c r="C35" s="6">
        <v>46015</v>
      </c>
      <c r="D35" s="7" t="s">
        <v>78</v>
      </c>
      <c r="E35" s="8">
        <v>508</v>
      </c>
      <c r="F35" s="8">
        <v>289234</v>
      </c>
      <c r="G35" s="8" t="s">
        <v>2</v>
      </c>
      <c r="H35" s="9">
        <v>18.16</v>
      </c>
      <c r="I35" s="9">
        <v>53.16</v>
      </c>
      <c r="J35" s="9">
        <v>35</v>
      </c>
      <c r="K35" s="35">
        <v>0.28611111111111109</v>
      </c>
      <c r="L35" s="10" t="s">
        <v>39</v>
      </c>
      <c r="M35" s="10" t="s">
        <v>40</v>
      </c>
    </row>
    <row r="36" spans="2:13" ht="21" customHeight="1" x14ac:dyDescent="0.25">
      <c r="B36" s="5">
        <v>13</v>
      </c>
      <c r="C36" s="6">
        <v>46015</v>
      </c>
      <c r="D36" s="7" t="s">
        <v>79</v>
      </c>
      <c r="E36" s="8">
        <v>518</v>
      </c>
      <c r="F36" s="8">
        <v>289234</v>
      </c>
      <c r="G36" s="8" t="s">
        <v>2</v>
      </c>
      <c r="H36" s="9">
        <v>18.16</v>
      </c>
      <c r="I36" s="9">
        <v>51.68</v>
      </c>
      <c r="J36" s="9">
        <v>33.519999999999996</v>
      </c>
      <c r="K36" s="35">
        <v>0.40763888888888888</v>
      </c>
      <c r="L36" s="10" t="s">
        <v>39</v>
      </c>
      <c r="M36" s="10" t="s">
        <v>40</v>
      </c>
    </row>
    <row r="37" spans="2:13" ht="21" customHeight="1" x14ac:dyDescent="0.25">
      <c r="B37" s="5">
        <v>14</v>
      </c>
      <c r="C37" s="6">
        <v>46016</v>
      </c>
      <c r="D37" s="7" t="s">
        <v>80</v>
      </c>
      <c r="E37" s="8">
        <v>519</v>
      </c>
      <c r="F37" s="8">
        <v>289234</v>
      </c>
      <c r="G37" s="8" t="s">
        <v>2</v>
      </c>
      <c r="H37" s="9">
        <v>18.16</v>
      </c>
      <c r="I37" s="9">
        <v>54.04</v>
      </c>
      <c r="J37" s="9">
        <v>35.879999999999995</v>
      </c>
      <c r="K37" s="35">
        <v>0.28125</v>
      </c>
      <c r="L37" s="10" t="s">
        <v>39</v>
      </c>
      <c r="M37" s="10" t="s">
        <v>40</v>
      </c>
    </row>
    <row r="38" spans="2:13" ht="21" customHeight="1" x14ac:dyDescent="0.25">
      <c r="B38" s="5">
        <v>15</v>
      </c>
      <c r="C38" s="6">
        <v>46016</v>
      </c>
      <c r="D38" s="7" t="s">
        <v>81</v>
      </c>
      <c r="E38" s="8">
        <v>539</v>
      </c>
      <c r="F38" s="8">
        <v>289234</v>
      </c>
      <c r="G38" s="8" t="s">
        <v>2</v>
      </c>
      <c r="H38" s="9">
        <v>18.16</v>
      </c>
      <c r="I38" s="9">
        <v>51.68</v>
      </c>
      <c r="J38" s="9">
        <v>33.519999999999996</v>
      </c>
      <c r="K38" s="35">
        <v>0.64027777777777772</v>
      </c>
      <c r="L38" s="10" t="s">
        <v>39</v>
      </c>
      <c r="M38" s="10" t="s">
        <v>40</v>
      </c>
    </row>
    <row r="39" spans="2:13" ht="21" customHeight="1" x14ac:dyDescent="0.25">
      <c r="B39" s="5">
        <v>16</v>
      </c>
      <c r="C39" s="6">
        <v>46018</v>
      </c>
      <c r="D39" s="7" t="s">
        <v>82</v>
      </c>
      <c r="E39" s="8">
        <v>541</v>
      </c>
      <c r="F39" s="8">
        <v>289234</v>
      </c>
      <c r="G39" s="8" t="s">
        <v>2</v>
      </c>
      <c r="H39" s="9">
        <v>18.16</v>
      </c>
      <c r="I39" s="9">
        <v>53.16</v>
      </c>
      <c r="J39" s="9">
        <v>35</v>
      </c>
      <c r="K39" s="35">
        <v>0.33750000000000002</v>
      </c>
      <c r="L39" s="10" t="s">
        <v>39</v>
      </c>
      <c r="M39" s="10" t="s">
        <v>40</v>
      </c>
    </row>
    <row r="40" spans="2:13" ht="21" customHeight="1" x14ac:dyDescent="0.25">
      <c r="B40" s="5">
        <v>17</v>
      </c>
      <c r="C40" s="6">
        <v>46019</v>
      </c>
      <c r="D40" s="7" t="s">
        <v>83</v>
      </c>
      <c r="E40" s="8">
        <v>553</v>
      </c>
      <c r="F40" s="8">
        <v>289234</v>
      </c>
      <c r="G40" s="8" t="s">
        <v>2</v>
      </c>
      <c r="H40" s="9">
        <v>18.16</v>
      </c>
      <c r="I40" s="9">
        <v>56.14</v>
      </c>
      <c r="J40" s="9">
        <v>37.980000000000004</v>
      </c>
      <c r="K40" s="35">
        <v>0.28541666666666665</v>
      </c>
      <c r="L40" s="10" t="s">
        <v>39</v>
      </c>
      <c r="M40" s="10" t="s">
        <v>40</v>
      </c>
    </row>
    <row r="41" spans="2:13" ht="21" customHeight="1" x14ac:dyDescent="0.25">
      <c r="B41" s="5">
        <v>18</v>
      </c>
      <c r="C41" s="6">
        <v>46020</v>
      </c>
      <c r="D41" s="7" t="s">
        <v>84</v>
      </c>
      <c r="E41" s="8">
        <v>557</v>
      </c>
      <c r="F41" s="8">
        <v>289234</v>
      </c>
      <c r="G41" s="8" t="s">
        <v>2</v>
      </c>
      <c r="H41" s="9">
        <v>18.16</v>
      </c>
      <c r="I41" s="9">
        <v>57.28</v>
      </c>
      <c r="J41" s="9">
        <v>39.120000000000005</v>
      </c>
      <c r="K41" s="35">
        <v>0.41180555555555554</v>
      </c>
      <c r="L41" s="10" t="s">
        <v>39</v>
      </c>
      <c r="M41" s="10" t="s">
        <v>40</v>
      </c>
    </row>
    <row r="42" spans="2:13" ht="21" customHeight="1" x14ac:dyDescent="0.25">
      <c r="B42" s="5">
        <v>19</v>
      </c>
      <c r="C42" s="6">
        <v>46021</v>
      </c>
      <c r="D42" s="7" t="s">
        <v>85</v>
      </c>
      <c r="E42" s="8">
        <v>565</v>
      </c>
      <c r="F42" s="8">
        <v>289234</v>
      </c>
      <c r="G42" s="8" t="s">
        <v>2</v>
      </c>
      <c r="H42" s="9">
        <v>18.16</v>
      </c>
      <c r="I42" s="9">
        <v>49.98</v>
      </c>
      <c r="J42" s="9">
        <v>31.819999999999997</v>
      </c>
      <c r="K42" s="35">
        <v>0.68402777777777779</v>
      </c>
      <c r="L42" s="10" t="s">
        <v>39</v>
      </c>
      <c r="M42" s="10" t="s">
        <v>40</v>
      </c>
    </row>
    <row r="43" spans="2:13" ht="21" customHeight="1" x14ac:dyDescent="0.3">
      <c r="J43" s="4">
        <f>SUM(J24:J42)</f>
        <v>706.2</v>
      </c>
      <c r="K43" s="12">
        <v>9</v>
      </c>
    </row>
    <row r="44" spans="2:13" ht="21" customHeight="1" thickBot="1" x14ac:dyDescent="0.35">
      <c r="J44" s="1"/>
      <c r="K44" s="14">
        <f>J43*K43</f>
        <v>6355.8</v>
      </c>
    </row>
    <row r="45" spans="2:13" ht="21" customHeight="1" thickTop="1" x14ac:dyDescent="0.25"/>
    <row r="48" spans="2:13" ht="41.25" hidden="1" customHeight="1" thickBot="1" x14ac:dyDescent="0.3">
      <c r="B48" s="24" t="s">
        <v>4</v>
      </c>
      <c r="C48" s="25" t="s">
        <v>0</v>
      </c>
      <c r="D48" s="26" t="s">
        <v>5</v>
      </c>
      <c r="E48" s="27" t="s">
        <v>6</v>
      </c>
      <c r="F48" s="24" t="s">
        <v>7</v>
      </c>
      <c r="G48" s="24" t="s">
        <v>8</v>
      </c>
      <c r="H48" s="28" t="s">
        <v>9</v>
      </c>
      <c r="I48" s="29" t="s">
        <v>10</v>
      </c>
      <c r="J48" s="30" t="s">
        <v>11</v>
      </c>
      <c r="K48" s="30" t="s">
        <v>1</v>
      </c>
    </row>
    <row r="49" spans="2:11" ht="21" hidden="1" customHeight="1" x14ac:dyDescent="0.25">
      <c r="B49" s="3"/>
      <c r="C49" s="53"/>
      <c r="D49" s="54"/>
      <c r="E49" s="10"/>
      <c r="F49" s="10"/>
      <c r="G49" s="10"/>
      <c r="H49" s="9"/>
      <c r="I49" s="9"/>
      <c r="J49" s="36"/>
      <c r="K49" s="2"/>
    </row>
    <row r="50" spans="2:11" ht="21" hidden="1" customHeight="1" x14ac:dyDescent="0.3">
      <c r="J50" s="4">
        <f>SUM(J49:J49)</f>
        <v>0</v>
      </c>
      <c r="K50" s="12">
        <v>11</v>
      </c>
    </row>
    <row r="51" spans="2:11" ht="21" hidden="1" customHeight="1" thickBot="1" x14ac:dyDescent="0.35">
      <c r="J51" s="1"/>
      <c r="K51" s="14">
        <f>J50*K50</f>
        <v>0</v>
      </c>
    </row>
  </sheetData>
  <mergeCells count="31">
    <mergeCell ref="E18:H18"/>
    <mergeCell ref="I18:K18"/>
    <mergeCell ref="E19:H19"/>
    <mergeCell ref="I19:K19"/>
    <mergeCell ref="E20:H20"/>
    <mergeCell ref="I20:K20"/>
    <mergeCell ref="E14:G14"/>
    <mergeCell ref="J14:K14"/>
    <mergeCell ref="E15:G15"/>
    <mergeCell ref="J15:K15"/>
    <mergeCell ref="E16:G16"/>
    <mergeCell ref="H16:I16"/>
    <mergeCell ref="J16:K16"/>
    <mergeCell ref="E11:G11"/>
    <mergeCell ref="J11:K11"/>
    <mergeCell ref="E12:G12"/>
    <mergeCell ref="J12:K12"/>
    <mergeCell ref="E13:G13"/>
    <mergeCell ref="J13:K13"/>
    <mergeCell ref="B7:D7"/>
    <mergeCell ref="E7:G7"/>
    <mergeCell ref="J7:K7"/>
    <mergeCell ref="B8:D8"/>
    <mergeCell ref="E8:G8"/>
    <mergeCell ref="J8:K8"/>
    <mergeCell ref="B3:E3"/>
    <mergeCell ref="F3:H3"/>
    <mergeCell ref="I3:K3"/>
    <mergeCell ref="B4:E4"/>
    <mergeCell ref="F4:H4"/>
    <mergeCell ref="I4:K4"/>
  </mergeCells>
  <conditionalFormatting sqref="F3">
    <cfRule type="duplicateValues" dxfId="23" priority="21"/>
  </conditionalFormatting>
  <conditionalFormatting sqref="I3:I4">
    <cfRule type="duplicateValues" dxfId="22" priority="22"/>
  </conditionalFormatting>
  <conditionalFormatting sqref="E13:E15">
    <cfRule type="duplicateValues" dxfId="21" priority="20"/>
  </conditionalFormatting>
  <conditionalFormatting sqref="D48:E48">
    <cfRule type="duplicateValues" dxfId="20" priority="18"/>
  </conditionalFormatting>
  <conditionalFormatting sqref="D48:E48">
    <cfRule type="duplicateValues" dxfId="19" priority="19"/>
  </conditionalFormatting>
  <conditionalFormatting sqref="D49">
    <cfRule type="duplicateValues" dxfId="18" priority="6"/>
    <cfRule type="duplicateValues" dxfId="17" priority="7"/>
    <cfRule type="duplicateValues" dxfId="16" priority="8"/>
    <cfRule type="duplicateValues" dxfId="15" priority="9"/>
    <cfRule type="duplicateValues" dxfId="14" priority="10"/>
  </conditionalFormatting>
  <conditionalFormatting sqref="D49:E49">
    <cfRule type="duplicateValues" dxfId="13" priority="11"/>
    <cfRule type="duplicateValues" dxfId="12" priority="12"/>
    <cfRule type="duplicateValues" dxfId="11" priority="13"/>
  </conditionalFormatting>
  <conditionalFormatting sqref="D49:E49">
    <cfRule type="duplicateValues" dxfId="10" priority="14"/>
  </conditionalFormatting>
  <conditionalFormatting sqref="E49">
    <cfRule type="duplicateValues" dxfId="9" priority="15"/>
    <cfRule type="duplicateValues" dxfId="8" priority="16"/>
    <cfRule type="duplicateValues" dxfId="7" priority="17"/>
  </conditionalFormatting>
  <conditionalFormatting sqref="D23">
    <cfRule type="duplicateValues" dxfId="6" priority="3"/>
  </conditionalFormatting>
  <conditionalFormatting sqref="D23">
    <cfRule type="duplicateValues" dxfId="5" priority="5"/>
  </conditionalFormatting>
  <conditionalFormatting sqref="E23">
    <cfRule type="duplicateValues" dxfId="4" priority="2"/>
  </conditionalFormatting>
  <conditionalFormatting sqref="E23">
    <cfRule type="duplicateValues" dxfId="3" priority="4"/>
  </conditionalFormatting>
  <conditionalFormatting sqref="E12">
    <cfRule type="duplicateValues" dxfId="2" priority="1"/>
  </conditionalFormatting>
  <conditionalFormatting sqref="D24:D42">
    <cfRule type="duplicateValues" dxfId="1" priority="91"/>
  </conditionalFormatting>
  <conditionalFormatting sqref="E24:E42">
    <cfRule type="duplicateValues" dxfId="0" priority="92"/>
  </conditionalFormatting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32688</vt:lpstr>
      <vt:lpstr>130874</vt:lpstr>
      <vt:lpstr>289234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cp:lastPrinted>2025-10-16T11:43:20Z</cp:lastPrinted>
  <dcterms:created xsi:type="dcterms:W3CDTF">2025-03-08T10:34:40Z</dcterms:created>
  <dcterms:modified xsi:type="dcterms:W3CDTF">2026-01-13T12:42:24Z</dcterms:modified>
</cp:coreProperties>
</file>